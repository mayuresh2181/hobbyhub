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15" customWidth="1" min="3" max="3"/>
    <col width="15" customWidth="1" min="4" max="4"/>
    <col width="13" customWidth="1" min="5" max="5"/>
    <col width="20" customWidth="1" min="6" max="6"/>
    <col width="17" customWidth="1" min="7" max="7"/>
    <col width="18" customWidth="1" min="8" max="8"/>
    <col width="20" customWidth="1" min="9" max="9"/>
  </cols>
  <sheetData>
    <row r="1">
      <c r="A1" s="1" t="inlineStr">
        <is>
          <t>SYMBOL</t>
        </is>
      </c>
      <c r="B1" s="1" t="inlineStr">
        <is>
          <t>LTP</t>
        </is>
      </c>
      <c r="C1" s="1" t="inlineStr">
        <is>
          <t>TOTAL_VOLUME</t>
        </is>
      </c>
      <c r="D1" s="1" t="inlineStr">
        <is>
          <t>DELIVERY_QTY</t>
        </is>
      </c>
      <c r="E1" s="1" t="inlineStr">
        <is>
          <t>DELIVERY_%</t>
        </is>
      </c>
      <c r="F1" s="1" t="inlineStr">
        <is>
          <t>AVG_30_DELIVERY</t>
        </is>
      </c>
      <c r="G1" s="1" t="inlineStr">
        <is>
          <t>DELIVERY_RATIO</t>
        </is>
      </c>
      <c r="H1" s="1" t="inlineStr">
        <is>
          <t>TRADED_VALUE_CR</t>
        </is>
      </c>
      <c r="I1" s="1" t="inlineStr">
        <is>
          <t>DELIVERY_VALUE_CR</t>
        </is>
      </c>
    </row>
    <row r="2">
      <c r="A2">
        <f>HYPERLINK("https://www.tradingview.com/chart/?symbol=NSE:ASTERDM","ASTERDM")</f>
        <v/>
      </c>
      <c r="B2" t="n">
        <v>800.2</v>
      </c>
      <c r="C2" t="n">
        <v>73948298</v>
      </c>
      <c r="D2" t="n">
        <v>62324493</v>
      </c>
      <c r="E2" t="n">
        <v>84.28</v>
      </c>
      <c r="F2" t="n">
        <v>373723.2</v>
      </c>
      <c r="G2" t="n">
        <v>166.77</v>
      </c>
      <c r="H2" t="n">
        <v>5917.34</v>
      </c>
      <c r="I2" t="n">
        <v>4987.21</v>
      </c>
    </row>
    <row r="3">
      <c r="A3">
        <f>HYPERLINK("https://www.tradingview.com/chart/?symbol=NSE:GLAXO","GLAXO")</f>
        <v/>
      </c>
      <c r="B3" t="n">
        <v>3032.4</v>
      </c>
      <c r="C3" t="n">
        <v>1374693</v>
      </c>
      <c r="D3" t="n">
        <v>438502</v>
      </c>
      <c r="E3" t="n">
        <v>31.9</v>
      </c>
      <c r="F3" t="n">
        <v>46713.13333333333</v>
      </c>
      <c r="G3" t="n">
        <v>9.390000000000001</v>
      </c>
      <c r="H3" t="n">
        <v>416.86</v>
      </c>
      <c r="I3" t="n">
        <v>132.97</v>
      </c>
    </row>
    <row r="4">
      <c r="A4">
        <f>HYPERLINK("https://www.tradingview.com/chart/?symbol=NSE:MID150BEES","MID150BEES")</f>
        <v/>
      </c>
      <c r="B4" t="n">
        <v>241.32</v>
      </c>
      <c r="C4" t="n">
        <v>5112200</v>
      </c>
      <c r="D4" t="n">
        <v>4916676</v>
      </c>
      <c r="E4" t="n">
        <v>96.18000000000001</v>
      </c>
      <c r="F4" t="n">
        <v>463245.1666666667</v>
      </c>
      <c r="G4" t="n">
        <v>10.61</v>
      </c>
      <c r="H4" t="n">
        <v>123.37</v>
      </c>
      <c r="I4" t="n">
        <v>118.65</v>
      </c>
    </row>
    <row r="5">
      <c r="A5">
        <f>HYPERLINK("https://www.tradingview.com/chart/?symbol=NSE:JUNIORBEES","JUNIORBEES")</f>
        <v/>
      </c>
      <c r="B5" t="n">
        <v>799.85</v>
      </c>
      <c r="C5" t="n">
        <v>1560194</v>
      </c>
      <c r="D5" t="n">
        <v>1483244</v>
      </c>
      <c r="E5" t="n">
        <v>95.06999999999999</v>
      </c>
      <c r="F5" t="n">
        <v>216815.2333333333</v>
      </c>
      <c r="G5" t="n">
        <v>6.84</v>
      </c>
      <c r="H5" t="n">
        <v>124.79</v>
      </c>
      <c r="I5" t="n">
        <v>118.64</v>
      </c>
    </row>
    <row r="6">
      <c r="A6">
        <f>HYPERLINK("https://www.tradingview.com/chart/?symbol=NSE:CORDELIA","CORDELIA")</f>
        <v/>
      </c>
      <c r="B6" t="n">
        <v>825.25</v>
      </c>
      <c r="C6" t="n">
        <v>1316682</v>
      </c>
      <c r="D6" t="n">
        <v>1039453</v>
      </c>
      <c r="E6" t="n">
        <v>78.94</v>
      </c>
      <c r="F6" t="n">
        <v>150017.7</v>
      </c>
      <c r="G6" t="n">
        <v>6.93</v>
      </c>
      <c r="H6" t="n">
        <v>108.66</v>
      </c>
      <c r="I6" t="n">
        <v>85.78</v>
      </c>
    </row>
    <row r="7">
      <c r="A7">
        <f>HYPERLINK("https://www.tradingview.com/chart/?symbol=NSE:ZAGGLE","ZAGGLE")</f>
        <v/>
      </c>
      <c r="B7" t="n">
        <v>186.04</v>
      </c>
      <c r="C7" t="n">
        <v>39149680</v>
      </c>
      <c r="D7" t="n">
        <v>4346075</v>
      </c>
      <c r="E7" t="n">
        <v>11.1</v>
      </c>
      <c r="F7" t="n">
        <v>606299.9333333333</v>
      </c>
      <c r="G7" t="n">
        <v>7.17</v>
      </c>
      <c r="H7" t="n">
        <v>728.34</v>
      </c>
      <c r="I7" t="n">
        <v>80.84999999999999</v>
      </c>
    </row>
    <row r="8">
      <c r="A8">
        <f>HYPERLINK("https://www.tradingview.com/chart/?symbol=NSE:EPL","EPL")</f>
        <v/>
      </c>
      <c r="B8" t="n">
        <v>250.8</v>
      </c>
      <c r="C8" t="n">
        <v>5477431</v>
      </c>
      <c r="D8" t="n">
        <v>2869016</v>
      </c>
      <c r="E8" t="n">
        <v>52.38</v>
      </c>
      <c r="F8" t="n">
        <v>451996.5</v>
      </c>
      <c r="G8" t="n">
        <v>6.35</v>
      </c>
      <c r="H8" t="n">
        <v>137.37</v>
      </c>
      <c r="I8" t="n">
        <v>71.95</v>
      </c>
    </row>
    <row r="9">
      <c r="A9">
        <f>HYPERLINK("https://www.tradingview.com/chart/?symbol=NSE:APOLLOTYRE","APOLLOTYRE")</f>
        <v/>
      </c>
      <c r="B9" t="n">
        <v>427.35</v>
      </c>
      <c r="C9" t="n">
        <v>1931870</v>
      </c>
      <c r="D9" t="n">
        <v>1551426</v>
      </c>
      <c r="E9" t="n">
        <v>80.31</v>
      </c>
      <c r="F9" t="n">
        <v>310312</v>
      </c>
      <c r="G9" t="n">
        <v>5</v>
      </c>
      <c r="H9" t="n">
        <v>82.56</v>
      </c>
      <c r="I9" t="n">
        <v>66.3</v>
      </c>
    </row>
    <row r="10">
      <c r="A10">
        <f>HYPERLINK("https://www.tradingview.com/chart/?symbol=NSE:JUBLPHARMA","JUBLPHARMA")</f>
        <v/>
      </c>
      <c r="B10" t="n">
        <v>868</v>
      </c>
      <c r="C10" t="n">
        <v>944269</v>
      </c>
      <c r="D10" t="n">
        <v>712444</v>
      </c>
      <c r="E10" t="n">
        <v>75.45</v>
      </c>
      <c r="F10" t="n">
        <v>96356.83333333333</v>
      </c>
      <c r="G10" t="n">
        <v>7.39</v>
      </c>
      <c r="H10" t="n">
        <v>81.95999999999999</v>
      </c>
      <c r="I10" t="n">
        <v>61.84</v>
      </c>
    </row>
    <row r="11">
      <c r="A11">
        <f>HYPERLINK("https://www.tradingview.com/chart/?symbol=NSE:PFIZER","PFIZER")</f>
        <v/>
      </c>
      <c r="B11" t="n">
        <v>4919.5</v>
      </c>
      <c r="C11" t="n">
        <v>160066</v>
      </c>
      <c r="D11" t="n">
        <v>111827</v>
      </c>
      <c r="E11" t="n">
        <v>69.86</v>
      </c>
      <c r="F11" t="n">
        <v>19256.46666666667</v>
      </c>
      <c r="G11" t="n">
        <v>5.81</v>
      </c>
      <c r="H11" t="n">
        <v>78.73999999999999</v>
      </c>
      <c r="I11" t="n">
        <v>55.01</v>
      </c>
    </row>
    <row r="12">
      <c r="A12">
        <f>HYPERLINK("https://www.tradingview.com/chart/?symbol=NSE:BLACKBUCK","BLACKBUCK")</f>
        <v/>
      </c>
      <c r="B12" t="n">
        <v>616.35</v>
      </c>
      <c r="C12" t="n">
        <v>3425004</v>
      </c>
      <c r="D12" t="n">
        <v>836875</v>
      </c>
      <c r="E12" t="n">
        <v>24.43</v>
      </c>
      <c r="F12" t="n">
        <v>158930.3333333333</v>
      </c>
      <c r="G12" t="n">
        <v>5.27</v>
      </c>
      <c r="H12" t="n">
        <v>211.1</v>
      </c>
      <c r="I12" t="n">
        <v>51.58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2026-08-19T19:04:53Z</dcterms:created>
  <dcterms:modified xsi:type="dcterms:W3CDTF">2026-08-19T19:04:53Z</dcterms:modified>
</cp:coreProperties>
</file>