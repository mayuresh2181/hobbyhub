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HYPERLINK("https://www.tradingview.com/chart/?symbol=NSE:M&amp;MFIN", "M&amp;MFIN")</f>
        <v/>
      </c>
      <c r="B2" t="n">
        <v>5754527</v>
      </c>
      <c r="C2" t="n">
        <v>736969.5833333334</v>
      </c>
      <c r="D2" t="n">
        <v>7.81</v>
      </c>
    </row>
    <row r="3">
      <c r="A3">
        <f>HYPERLINK("https://www.tradingview.com/chart/?symbol=NSE:TENNIND", "TENNIND")</f>
        <v/>
      </c>
      <c r="B3" t="n">
        <v>2373736</v>
      </c>
      <c r="C3" t="n">
        <v>344132.2333333333</v>
      </c>
      <c r="D3" t="n">
        <v>6.9</v>
      </c>
    </row>
    <row r="4">
      <c r="A4">
        <f>HYPERLINK("https://www.tradingview.com/chart/?symbol=NSE:CEATLTD", "CEATLTD")</f>
        <v/>
      </c>
      <c r="B4" t="n">
        <v>279474</v>
      </c>
      <c r="C4" t="n">
        <v>47021.33333333334</v>
      </c>
      <c r="D4" t="n">
        <v>5.94</v>
      </c>
    </row>
    <row r="5">
      <c r="A5">
        <f>HYPERLINK("https://www.tradingview.com/chart/?symbol=NSE:STARHEALTH", "STARHEALTH")</f>
        <v/>
      </c>
      <c r="B5" t="n">
        <v>1870467</v>
      </c>
      <c r="C5" t="n">
        <v>329106.9</v>
      </c>
      <c r="D5" t="n">
        <v>5.68</v>
      </c>
    </row>
    <row r="6">
      <c r="A6">
        <f>HYPERLINK("https://www.tradingview.com/chart/?symbol=NSE:EMMVEE", "EMMVEE")</f>
        <v/>
      </c>
      <c r="B6" t="n">
        <v>7390417</v>
      </c>
      <c r="C6" t="n">
        <v>1505646.533333333</v>
      </c>
      <c r="D6" t="n">
        <v>4.91</v>
      </c>
    </row>
    <row r="7">
      <c r="A7">
        <f>HYPERLINK("https://www.tradingview.com/chart/?symbol=NSE:BANDHANBNK", "BANDHANBNK")</f>
        <v/>
      </c>
      <c r="B7" t="n">
        <v>23023000</v>
      </c>
      <c r="C7" t="n">
        <v>4738332.066666666</v>
      </c>
      <c r="D7" t="n">
        <v>4.86</v>
      </c>
    </row>
    <row r="8">
      <c r="A8">
        <f>HYPERLINK("https://www.tradingview.com/chart/?symbol=NSE:SAPPHIRE", "SAPPHIRE")</f>
        <v/>
      </c>
      <c r="B8" t="n">
        <v>3462962</v>
      </c>
      <c r="C8" t="n">
        <v>742457.5</v>
      </c>
      <c r="D8" t="n">
        <v>4.66</v>
      </c>
    </row>
    <row r="9">
      <c r="A9">
        <f>HYPERLINK("https://www.tradingview.com/chart/?symbol=NSE:CROMPTON", "CROMPTON")</f>
        <v/>
      </c>
      <c r="B9" t="n">
        <v>7894203</v>
      </c>
      <c r="C9" t="n">
        <v>1730387.8</v>
      </c>
      <c r="D9" t="n">
        <v>4.56</v>
      </c>
    </row>
    <row r="10">
      <c r="A10">
        <f>HYPERLINK("https://www.tradingview.com/chart/?symbol=NSE:GRSE", "GRSE")</f>
        <v/>
      </c>
      <c r="B10" t="n">
        <v>2001842</v>
      </c>
      <c r="C10" t="n">
        <v>489652.4</v>
      </c>
      <c r="D10" t="n">
        <v>4.09</v>
      </c>
    </row>
    <row r="11">
      <c r="A11">
        <f>HYPERLINK("https://www.tradingview.com/chart/?symbol=NSE:RBLBANK", "RBLBANK")</f>
        <v/>
      </c>
      <c r="B11" t="n">
        <v>7754010</v>
      </c>
      <c r="C11" t="n">
        <v>2114602.466666667</v>
      </c>
      <c r="D11" t="n">
        <v>3.67</v>
      </c>
    </row>
    <row r="12">
      <c r="A12">
        <f>HYPERLINK("https://www.tradingview.com/chart/?symbol=NSE:RRKABEL", "RRKABEL")</f>
        <v/>
      </c>
      <c r="B12" t="n">
        <v>424636</v>
      </c>
      <c r="C12" t="n">
        <v>122011.2</v>
      </c>
      <c r="D12" t="n">
        <v>3.48</v>
      </c>
    </row>
    <row r="13">
      <c r="A13">
        <f>HYPERLINK("https://www.tradingview.com/chart/?symbol=NSE:GODFRYPHLP", "GODFRYPHLP")</f>
        <v/>
      </c>
      <c r="B13" t="n">
        <v>901640</v>
      </c>
      <c r="C13" t="n">
        <v>266317.9333333333</v>
      </c>
      <c r="D13" t="n">
        <v>3.39</v>
      </c>
    </row>
    <row r="14">
      <c r="A14">
        <f>HYPERLINK("https://www.tradingview.com/chart/?symbol=NSE:BHARTIHEXA", "BHARTIHEXA")</f>
        <v/>
      </c>
      <c r="B14" t="n">
        <v>516700</v>
      </c>
      <c r="C14" t="n">
        <v>153582.5666666667</v>
      </c>
      <c r="D14" t="n">
        <v>3.36</v>
      </c>
    </row>
    <row r="15">
      <c r="A15">
        <f>HYPERLINK("https://www.tradingview.com/chart/?symbol=NSE:CANHLIFE", "CANHLIFE")</f>
        <v/>
      </c>
      <c r="B15" t="n">
        <v>2203559</v>
      </c>
      <c r="C15" t="n">
        <v>661766.1</v>
      </c>
      <c r="D15" t="n">
        <v>3.33</v>
      </c>
    </row>
    <row r="16">
      <c r="A16">
        <f>HYPERLINK("https://www.tradingview.com/chart/?symbol=NSE:VEDL", "VEDL")</f>
        <v/>
      </c>
      <c r="B16" t="n">
        <v>29322590</v>
      </c>
      <c r="C16" t="n">
        <v>9061811.833333334</v>
      </c>
      <c r="D16" t="n">
        <v>3.24</v>
      </c>
    </row>
    <row r="17">
      <c r="A17">
        <f>HYPERLINK("https://www.tradingview.com/chart/?symbol=NSE:EMCURE", "EMCURE")</f>
        <v/>
      </c>
      <c r="B17" t="n">
        <v>449572</v>
      </c>
      <c r="C17" t="n">
        <v>145752.8</v>
      </c>
      <c r="D17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2026-04-30T20:00:11Z</dcterms:created>
  <dcterms:modified xsi:type="dcterms:W3CDTF">2026-04-30T20:00:11Z</dcterms:modified>
</cp:coreProperties>
</file>