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HYPERLINK("https://www.tradingview.com/chart/?symbol=NSE:OFSS","OFSS")</f>
        <v/>
      </c>
      <c r="B2" t="n">
        <v>10843</v>
      </c>
      <c r="C2" t="n">
        <v>3404237</v>
      </c>
      <c r="D2" t="n">
        <v>826141</v>
      </c>
      <c r="E2" t="n">
        <v>24.27</v>
      </c>
      <c r="F2" t="n">
        <v>131223.9</v>
      </c>
      <c r="G2" t="n">
        <v>6.3</v>
      </c>
      <c r="H2" t="n">
        <v>3691.21</v>
      </c>
      <c r="I2" t="n">
        <v>895.78</v>
      </c>
    </row>
    <row r="3">
      <c r="A3">
        <f>HYPERLINK("https://www.tradingview.com/chart/?symbol=NSE:UJJIVANSFB","UJJIVANSFB")</f>
        <v/>
      </c>
      <c r="B3" t="n">
        <v>68.78</v>
      </c>
      <c r="C3" t="n">
        <v>150100120</v>
      </c>
      <c r="D3" t="n">
        <v>44580793</v>
      </c>
      <c r="E3" t="n">
        <v>29.7</v>
      </c>
      <c r="F3" t="n">
        <v>7603306.3</v>
      </c>
      <c r="G3" t="n">
        <v>5.86</v>
      </c>
      <c r="H3" t="n">
        <v>1032.39</v>
      </c>
      <c r="I3" t="n">
        <v>306.63</v>
      </c>
    </row>
    <row r="4">
      <c r="A4">
        <f>HYPERLINK("https://www.tradingview.com/chart/?symbol=NSE:GANDHAR","GANDHAR")</f>
        <v/>
      </c>
      <c r="B4" t="n">
        <v>281.95</v>
      </c>
      <c r="C4" t="n">
        <v>25146579</v>
      </c>
      <c r="D4" t="n">
        <v>7238833</v>
      </c>
      <c r="E4" t="n">
        <v>28.79</v>
      </c>
      <c r="F4" t="n">
        <v>544653.3666666667</v>
      </c>
      <c r="G4" t="n">
        <v>13.29</v>
      </c>
      <c r="H4" t="n">
        <v>709.01</v>
      </c>
      <c r="I4" t="n">
        <v>204.1</v>
      </c>
    </row>
    <row r="5">
      <c r="A5">
        <f>HYPERLINK("https://www.tradingview.com/chart/?symbol=NSE:TANLA","TANLA")</f>
        <v/>
      </c>
      <c r="B5" t="n">
        <v>618.5</v>
      </c>
      <c r="C5" t="n">
        <v>26963403</v>
      </c>
      <c r="D5" t="n">
        <v>2691352</v>
      </c>
      <c r="E5" t="n">
        <v>9.98</v>
      </c>
      <c r="F5" t="n">
        <v>206851.1666666667</v>
      </c>
      <c r="G5" t="n">
        <v>13.01</v>
      </c>
      <c r="H5" t="n">
        <v>1667.69</v>
      </c>
      <c r="I5" t="n">
        <v>166.46</v>
      </c>
    </row>
    <row r="6">
      <c r="A6">
        <f>HYPERLINK("https://www.tradingview.com/chart/?symbol=NSE:HEG","HEG")</f>
        <v/>
      </c>
      <c r="B6" t="n">
        <v>623.85</v>
      </c>
      <c r="C6" t="n">
        <v>18802024</v>
      </c>
      <c r="D6" t="n">
        <v>2563606</v>
      </c>
      <c r="E6" t="n">
        <v>13.63</v>
      </c>
      <c r="F6" t="n">
        <v>509368.1333333334</v>
      </c>
      <c r="G6" t="n">
        <v>5.03</v>
      </c>
      <c r="H6" t="n">
        <v>1172.96</v>
      </c>
      <c r="I6" t="n">
        <v>159.93</v>
      </c>
    </row>
    <row r="7">
      <c r="A7">
        <f>HYPERLINK("https://www.tradingview.com/chart/?symbol=NSE:BLUESTONE","BLUESTONE")</f>
        <v/>
      </c>
      <c r="B7" t="n">
        <v>747</v>
      </c>
      <c r="C7" t="n">
        <v>25101291</v>
      </c>
      <c r="D7" t="n">
        <v>1703133</v>
      </c>
      <c r="E7" t="n">
        <v>6.79</v>
      </c>
      <c r="F7" t="n">
        <v>333021.9333333333</v>
      </c>
      <c r="G7" t="n">
        <v>5.11</v>
      </c>
      <c r="H7" t="n">
        <v>1875.07</v>
      </c>
      <c r="I7" t="n">
        <v>127.22</v>
      </c>
    </row>
    <row r="8">
      <c r="A8">
        <f>HYPERLINK("https://www.tradingview.com/chart/?symbol=NSE:AGIIL","AGIIL")</f>
        <v/>
      </c>
      <c r="B8" t="n">
        <v>317.35</v>
      </c>
      <c r="C8" t="n">
        <v>6420673</v>
      </c>
      <c r="D8" t="n">
        <v>3161387</v>
      </c>
      <c r="E8" t="n">
        <v>49.24</v>
      </c>
      <c r="F8" t="n">
        <v>556370.4</v>
      </c>
      <c r="G8" t="n">
        <v>5.68</v>
      </c>
      <c r="H8" t="n">
        <v>203.76</v>
      </c>
      <c r="I8" t="n">
        <v>100.33</v>
      </c>
    </row>
    <row r="9">
      <c r="A9">
        <f>HYPERLINK("https://www.tradingview.com/chart/?symbol=NSE:NTPCGREEN","NTPCGREEN")</f>
        <v/>
      </c>
      <c r="B9" t="n">
        <v>97.22</v>
      </c>
      <c r="C9" t="n">
        <v>107607528</v>
      </c>
      <c r="D9" t="n">
        <v>10191265</v>
      </c>
      <c r="E9" t="n">
        <v>9.470000000000001</v>
      </c>
      <c r="F9" t="n">
        <v>1677528.1</v>
      </c>
      <c r="G9" t="n">
        <v>6.08</v>
      </c>
      <c r="H9" t="n">
        <v>1046.16</v>
      </c>
      <c r="I9" t="n">
        <v>99.08</v>
      </c>
    </row>
    <row r="10">
      <c r="A10">
        <f>HYPERLINK("https://www.tradingview.com/chart/?symbol=NSE:SUNDRMFAST","SUNDRMFAST")</f>
        <v/>
      </c>
      <c r="B10" t="n">
        <v>946.45</v>
      </c>
      <c r="C10" t="n">
        <v>1004828</v>
      </c>
      <c r="D10" t="n">
        <v>932356</v>
      </c>
      <c r="E10" t="n">
        <v>92.79000000000001</v>
      </c>
      <c r="F10" t="n">
        <v>80274</v>
      </c>
      <c r="G10" t="n">
        <v>11.61</v>
      </c>
      <c r="H10" t="n">
        <v>95.09999999999999</v>
      </c>
      <c r="I10" t="n">
        <v>88.23999999999999</v>
      </c>
    </row>
    <row r="11">
      <c r="A11">
        <f>HYPERLINK("https://www.tradingview.com/chart/?symbol=NSE:ROUTE","ROUTE")</f>
        <v/>
      </c>
      <c r="B11" t="n">
        <v>600.45</v>
      </c>
      <c r="C11" t="n">
        <v>29573957</v>
      </c>
      <c r="D11" t="n">
        <v>1447683</v>
      </c>
      <c r="E11" t="n">
        <v>4.9</v>
      </c>
      <c r="F11" t="n">
        <v>96687.13333333333</v>
      </c>
      <c r="G11" t="n">
        <v>14.97</v>
      </c>
      <c r="H11" t="n">
        <v>1775.77</v>
      </c>
      <c r="I11" t="n">
        <v>86.93000000000001</v>
      </c>
    </row>
    <row r="12">
      <c r="A12">
        <f>HYPERLINK("https://www.tradingview.com/chart/?symbol=NSE:CIEINDIA","CIEINDIA")</f>
        <v/>
      </c>
      <c r="B12" t="n">
        <v>419</v>
      </c>
      <c r="C12" t="n">
        <v>6347775</v>
      </c>
      <c r="D12" t="n">
        <v>1791521</v>
      </c>
      <c r="E12" t="n">
        <v>28.22</v>
      </c>
      <c r="F12" t="n">
        <v>121969.6333333333</v>
      </c>
      <c r="G12" t="n">
        <v>14.69</v>
      </c>
      <c r="H12" t="n">
        <v>265.97</v>
      </c>
      <c r="I12" t="n">
        <v>75.06</v>
      </c>
    </row>
    <row r="13">
      <c r="A13">
        <f>HYPERLINK("https://www.tradingview.com/chart/?symbol=NSE:LOTUSDEV","LOTUSDEV")</f>
        <v/>
      </c>
      <c r="B13" t="n">
        <v>173.57</v>
      </c>
      <c r="C13" t="n">
        <v>15477814</v>
      </c>
      <c r="D13" t="n">
        <v>4150896</v>
      </c>
      <c r="E13" t="n">
        <v>26.82</v>
      </c>
      <c r="F13" t="n">
        <v>628800.7333333333</v>
      </c>
      <c r="G13" t="n">
        <v>6.6</v>
      </c>
      <c r="H13" t="n">
        <v>268.65</v>
      </c>
      <c r="I13" t="n">
        <v>72.05</v>
      </c>
    </row>
    <row r="14">
      <c r="A14">
        <f>HYPERLINK("https://www.tradingview.com/chart/?symbol=NSE:TIPSMUSIC","TIPSMUSIC")</f>
        <v/>
      </c>
      <c r="B14" t="n">
        <v>676.6</v>
      </c>
      <c r="C14" t="n">
        <v>10071989</v>
      </c>
      <c r="D14" t="n">
        <v>960242</v>
      </c>
      <c r="E14" t="n">
        <v>9.529999999999999</v>
      </c>
      <c r="F14" t="n">
        <v>157185.1</v>
      </c>
      <c r="G14" t="n">
        <v>6.11</v>
      </c>
      <c r="H14" t="n">
        <v>681.47</v>
      </c>
      <c r="I14" t="n">
        <v>64.97</v>
      </c>
    </row>
    <row r="15">
      <c r="A15">
        <f>HYPERLINK("https://www.tradingview.com/chart/?symbol=NSE:WAKEFIT","WAKEFIT")</f>
        <v/>
      </c>
      <c r="B15" t="n">
        <v>134.18</v>
      </c>
      <c r="C15" t="n">
        <v>94248586</v>
      </c>
      <c r="D15" t="n">
        <v>4681022</v>
      </c>
      <c r="E15" t="n">
        <v>4.97</v>
      </c>
      <c r="F15" t="n">
        <v>432351.1</v>
      </c>
      <c r="G15" t="n">
        <v>10.83</v>
      </c>
      <c r="H15" t="n">
        <v>1264.63</v>
      </c>
      <c r="I15" t="n">
        <v>62.81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2026-07-23T19:57:41Z</dcterms:created>
  <dcterms:modified xsi:type="dcterms:W3CDTF">2026-07-23T19:57:41Z</dcterms:modified>
</cp:coreProperties>
</file>