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HYPERLINK("https://www.tradingview.com/chart/?symbol=NSE:SUNTV","SUNTV")</f>
        <v/>
      </c>
      <c r="B2" t="n">
        <v>1122710</v>
      </c>
      <c r="C2" t="n">
        <v>151927.3448275862</v>
      </c>
      <c r="D2" t="n">
        <v>7.39</v>
      </c>
    </row>
    <row r="3">
      <c r="A3">
        <f>HYPERLINK("https://www.tradingview.com/chart/?symbol=NSE:CENTRALBK","CENTRALBK")</f>
        <v/>
      </c>
      <c r="B3" t="n">
        <v>23978213</v>
      </c>
      <c r="C3" t="n">
        <v>4378709.586206896</v>
      </c>
      <c r="D3" t="n">
        <v>5.48</v>
      </c>
    </row>
    <row r="4">
      <c r="A4">
        <f>HYPERLINK("https://www.tradingview.com/chart/?symbol=NSE:NAUKRI","NAUKRI")</f>
        <v/>
      </c>
      <c r="B4" t="n">
        <v>4790931</v>
      </c>
      <c r="C4" t="n">
        <v>994782.5172413794</v>
      </c>
      <c r="D4" t="n">
        <v>4.82</v>
      </c>
    </row>
    <row r="5">
      <c r="A5">
        <f>HYPERLINK("https://www.tradingview.com/chart/?symbol=NSE:JSWCEMENT","JSWCEMENT")</f>
        <v/>
      </c>
      <c r="B5" t="n">
        <v>4739740</v>
      </c>
      <c r="C5" t="n">
        <v>1046761.655172414</v>
      </c>
      <c r="D5" t="n">
        <v>4.53</v>
      </c>
    </row>
    <row r="6">
      <c r="A6">
        <f>HYPERLINK("https://www.tradingview.com/chart/?symbol=NSE:BLUEJET","BLUEJET")</f>
        <v/>
      </c>
      <c r="B6" t="n">
        <v>575521</v>
      </c>
      <c r="C6" t="n">
        <v>177549.2413793103</v>
      </c>
      <c r="D6" t="n">
        <v>3.24</v>
      </c>
    </row>
    <row r="7">
      <c r="A7">
        <f>HYPERLINK("https://www.tradingview.com/chart/?symbol=NSE:WIPRO","WIPRO")</f>
        <v/>
      </c>
      <c r="B7" t="n">
        <v>40644613</v>
      </c>
      <c r="C7" t="n">
        <v>12543987</v>
      </c>
      <c r="D7" t="n">
        <v>3.24</v>
      </c>
    </row>
    <row r="8">
      <c r="A8">
        <f>HYPERLINK("https://www.tradingview.com/chart/?symbol=NSE:TITAGARH","TITAGARH")</f>
        <v/>
      </c>
      <c r="B8" t="n">
        <v>1040882</v>
      </c>
      <c r="C8" t="n">
        <v>330240.9310344828</v>
      </c>
      <c r="D8" t="n">
        <v>3.15</v>
      </c>
    </row>
    <row r="9">
      <c r="A9">
        <f>HYPERLINK("https://www.tradingview.com/chart/?symbol=NSE:PINELABS","PINELABS")</f>
        <v/>
      </c>
      <c r="B9" t="n">
        <v>8567087</v>
      </c>
      <c r="C9" t="n">
        <v>2845128.689655173</v>
      </c>
      <c r="D9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2026-05-26T20:32:26Z</dcterms:created>
  <dcterms:modified xsi:type="dcterms:W3CDTF">2026-05-26T20:32:26Z</dcterms:modified>
</cp:coreProperties>
</file>