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HYPERLINK("https://www.tradingview.com/chart/?symbol=NSE:EXIDEIND","EXIDEIND")</f>
        <v/>
      </c>
      <c r="B2" t="n">
        <v>452.7</v>
      </c>
      <c r="C2" t="n">
        <v>31728785</v>
      </c>
      <c r="D2" t="n">
        <v>10924243</v>
      </c>
      <c r="E2" t="n">
        <v>34.43</v>
      </c>
      <c r="F2" t="n">
        <v>1867225.366666667</v>
      </c>
      <c r="G2" t="n">
        <v>5.85</v>
      </c>
      <c r="H2" t="n">
        <v>1436.36</v>
      </c>
      <c r="I2" t="n">
        <v>494.54</v>
      </c>
    </row>
    <row r="3">
      <c r="A3">
        <f>HYPERLINK("https://www.tradingview.com/chart/?symbol=NSE:BALKRISIND","BALKRISIND")</f>
        <v/>
      </c>
      <c r="B3" t="n">
        <v>2306.9</v>
      </c>
      <c r="C3" t="n">
        <v>4223176</v>
      </c>
      <c r="D3" t="n">
        <v>930182</v>
      </c>
      <c r="E3" t="n">
        <v>22.03</v>
      </c>
      <c r="F3" t="n">
        <v>85744.73333333334</v>
      </c>
      <c r="G3" t="n">
        <v>10.85</v>
      </c>
      <c r="H3" t="n">
        <v>974.24</v>
      </c>
      <c r="I3" t="n">
        <v>214.58</v>
      </c>
    </row>
    <row r="4">
      <c r="A4">
        <f>HYPERLINK("https://www.tradingview.com/chart/?symbol=NSE:SMLMAH","SMLMAH")</f>
        <v/>
      </c>
      <c r="B4" t="n">
        <v>5479.2</v>
      </c>
      <c r="C4" t="n">
        <v>1495350</v>
      </c>
      <c r="D4" t="n">
        <v>331453</v>
      </c>
      <c r="E4" t="n">
        <v>22.17</v>
      </c>
      <c r="F4" t="n">
        <v>41322.1</v>
      </c>
      <c r="G4" t="n">
        <v>8.02</v>
      </c>
      <c r="H4" t="n">
        <v>819.33</v>
      </c>
      <c r="I4" t="n">
        <v>181.61</v>
      </c>
    </row>
    <row r="5">
      <c r="A5">
        <f>HYPERLINK("https://www.tradingview.com/chart/?symbol=NSE:SYNGENE","SYNGENE")</f>
        <v/>
      </c>
      <c r="B5" t="n">
        <v>399.2</v>
      </c>
      <c r="C5" t="n">
        <v>14967558</v>
      </c>
      <c r="D5" t="n">
        <v>3941779</v>
      </c>
      <c r="E5" t="n">
        <v>26.34</v>
      </c>
      <c r="F5" t="n">
        <v>530041.7666666667</v>
      </c>
      <c r="G5" t="n">
        <v>7.44</v>
      </c>
      <c r="H5" t="n">
        <v>597.5</v>
      </c>
      <c r="I5" t="n">
        <v>157.36</v>
      </c>
    </row>
    <row r="6">
      <c r="A6">
        <f>HYPERLINK("https://www.tradingview.com/chart/?symbol=NSE:PCBL","PCBL")</f>
        <v/>
      </c>
      <c r="B6" t="n">
        <v>328</v>
      </c>
      <c r="C6" t="n">
        <v>13415979</v>
      </c>
      <c r="D6" t="n">
        <v>4204491</v>
      </c>
      <c r="E6" t="n">
        <v>31.34</v>
      </c>
      <c r="F6" t="n">
        <v>585426.6333333333</v>
      </c>
      <c r="G6" t="n">
        <v>7.18</v>
      </c>
      <c r="H6" t="n">
        <v>440.04</v>
      </c>
      <c r="I6" t="n">
        <v>137.91</v>
      </c>
    </row>
    <row r="7">
      <c r="A7">
        <f>HYPERLINK("https://www.tradingview.com/chart/?symbol=NSE:TBOTEK","TBOTEK")</f>
        <v/>
      </c>
      <c r="B7" t="n">
        <v>1498.5</v>
      </c>
      <c r="C7" t="n">
        <v>1541761</v>
      </c>
      <c r="D7" t="n">
        <v>847291</v>
      </c>
      <c r="E7" t="n">
        <v>54.96</v>
      </c>
      <c r="F7" t="n">
        <v>121381.8333333333</v>
      </c>
      <c r="G7" t="n">
        <v>6.98</v>
      </c>
      <c r="H7" t="n">
        <v>231.03</v>
      </c>
      <c r="I7" t="n">
        <v>126.97</v>
      </c>
    </row>
    <row r="8">
      <c r="A8">
        <f>HYPERLINK("https://www.tradingview.com/chart/?symbol=NSE:VGUARD","VGUARD")</f>
        <v/>
      </c>
      <c r="B8" t="n">
        <v>316.65</v>
      </c>
      <c r="C8" t="n">
        <v>26724401</v>
      </c>
      <c r="D8" t="n">
        <v>2421192</v>
      </c>
      <c r="E8" t="n">
        <v>9.06</v>
      </c>
      <c r="F8" t="n">
        <v>195322.1666666667</v>
      </c>
      <c r="G8" t="n">
        <v>12.4</v>
      </c>
      <c r="H8" t="n">
        <v>846.23</v>
      </c>
      <c r="I8" t="n">
        <v>76.67</v>
      </c>
    </row>
    <row r="9">
      <c r="A9">
        <f>HYPERLINK("https://www.tradingview.com/chart/?symbol=NSE:MOIL","MOIL")</f>
        <v/>
      </c>
      <c r="B9" t="n">
        <v>287.95</v>
      </c>
      <c r="C9" t="n">
        <v>35498059</v>
      </c>
      <c r="D9" t="n">
        <v>2645989</v>
      </c>
      <c r="E9" t="n">
        <v>7.45</v>
      </c>
      <c r="F9" t="n">
        <v>159055.7333333333</v>
      </c>
      <c r="G9" t="n">
        <v>16.64</v>
      </c>
      <c r="H9" t="n">
        <v>1022.17</v>
      </c>
      <c r="I9" t="n">
        <v>76.19</v>
      </c>
    </row>
    <row r="10">
      <c r="A10">
        <f>HYPERLINK("https://www.tradingview.com/chart/?symbol=NSE:63MOONS","63MOONS")</f>
        <v/>
      </c>
      <c r="B10" t="n">
        <v>847.35</v>
      </c>
      <c r="C10" t="n">
        <v>9665398</v>
      </c>
      <c r="D10" t="n">
        <v>818571</v>
      </c>
      <c r="E10" t="n">
        <v>8.470000000000001</v>
      </c>
      <c r="F10" t="n">
        <v>113581.6333333333</v>
      </c>
      <c r="G10" t="n">
        <v>7.21</v>
      </c>
      <c r="H10" t="n">
        <v>819</v>
      </c>
      <c r="I10" t="n">
        <v>69.36</v>
      </c>
    </row>
    <row r="11">
      <c r="A11">
        <f>HYPERLINK("https://www.tradingview.com/chart/?symbol=NSE:MGL","MGL")</f>
        <v/>
      </c>
      <c r="B11" t="n">
        <v>1118.5</v>
      </c>
      <c r="C11" t="n">
        <v>3003380</v>
      </c>
      <c r="D11" t="n">
        <v>574545</v>
      </c>
      <c r="E11" t="n">
        <v>19.13</v>
      </c>
      <c r="F11" t="n">
        <v>79796.7</v>
      </c>
      <c r="G11" t="n">
        <v>7.2</v>
      </c>
      <c r="H11" t="n">
        <v>335.93</v>
      </c>
      <c r="I11" t="n">
        <v>64.26000000000001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2026-07-30T20:04:54Z</dcterms:created>
  <dcterms:modified xsi:type="dcterms:W3CDTF">2026-07-30T20:04:54Z</dcterms:modified>
</cp:coreProperties>
</file>