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HYPERLINK("https://www.tradingview.com/chart/?symbol=NSE:ABLBL","ABLBL")</f>
        <v/>
      </c>
      <c r="B2" t="n">
        <v>5129828</v>
      </c>
      <c r="C2" t="n">
        <v>632899.7931034482</v>
      </c>
      <c r="D2" t="n">
        <v>8.109999999999999</v>
      </c>
    </row>
    <row r="3">
      <c r="A3">
        <f>HYPERLINK("https://www.tradingview.com/chart/?symbol=NSE:TTML","TTML")</f>
        <v/>
      </c>
      <c r="B3" t="n">
        <v>5193284</v>
      </c>
      <c r="C3" t="n">
        <v>821738.9310344828</v>
      </c>
      <c r="D3" t="n">
        <v>6.32</v>
      </c>
    </row>
    <row r="4">
      <c r="A4">
        <f>HYPERLINK("https://www.tradingview.com/chart/?symbol=NSE:GODIGIT","GODIGIT")</f>
        <v/>
      </c>
      <c r="B4" t="n">
        <v>966578</v>
      </c>
      <c r="C4" t="n">
        <v>186328.7931034483</v>
      </c>
      <c r="D4" t="n">
        <v>5.19</v>
      </c>
    </row>
    <row r="5">
      <c r="A5">
        <f>HYPERLINK("https://www.tradingview.com/chart/?symbol=NSE:MEESHO","MEESHO")</f>
        <v/>
      </c>
      <c r="B5" t="n">
        <v>20197439</v>
      </c>
      <c r="C5" t="n">
        <v>5067285.068965517</v>
      </c>
      <c r="D5" t="n">
        <v>3.99</v>
      </c>
    </row>
    <row r="6">
      <c r="A6">
        <f>HYPERLINK("https://www.tradingview.com/chart/?symbol=NSE:ZEEL","ZEEL")</f>
        <v/>
      </c>
      <c r="B6" t="n">
        <v>25573306</v>
      </c>
      <c r="C6" t="n">
        <v>6858846.448275862</v>
      </c>
      <c r="D6" t="n">
        <v>3.73</v>
      </c>
    </row>
    <row r="7">
      <c r="A7">
        <f>HYPERLINK("https://www.tradingview.com/chart/?symbol=NSE:360ONE","360ONE")</f>
        <v/>
      </c>
      <c r="B7" t="n">
        <v>1723202</v>
      </c>
      <c r="C7" t="n">
        <v>480803.8275862069</v>
      </c>
      <c r="D7" t="n">
        <v>3.58</v>
      </c>
    </row>
    <row r="8">
      <c r="A8">
        <f>HYPERLINK("https://www.tradingview.com/chart/?symbol=NSE:KIMS","KIMS")</f>
        <v/>
      </c>
      <c r="B8" t="n">
        <v>976221</v>
      </c>
      <c r="C8" t="n">
        <v>273226.1724137931</v>
      </c>
      <c r="D8" t="n">
        <v>3.57</v>
      </c>
    </row>
    <row r="9">
      <c r="A9">
        <f>HYPERLINK("https://www.tradingview.com/chart/?symbol=NSE:CHALET","CHALET")</f>
        <v/>
      </c>
      <c r="B9" t="n">
        <v>226558</v>
      </c>
      <c r="C9" t="n">
        <v>67921.89655172414</v>
      </c>
      <c r="D9" t="n">
        <v>3.34</v>
      </c>
    </row>
    <row r="10">
      <c r="A10">
        <f>HYPERLINK("https://www.tradingview.com/chart/?symbol=NSE:RITES","RITES")</f>
        <v/>
      </c>
      <c r="B10" t="n">
        <v>689856</v>
      </c>
      <c r="C10" t="n">
        <v>207924</v>
      </c>
      <c r="D10" t="n">
        <v>3.32</v>
      </c>
    </row>
    <row r="11">
      <c r="A11">
        <f>HYPERLINK("https://www.tradingview.com/chart/?symbol=NSE:EIDPARRY","EIDPARRY")</f>
        <v/>
      </c>
      <c r="B11" t="n">
        <v>441870</v>
      </c>
      <c r="C11" t="n">
        <v>134317.1724137931</v>
      </c>
      <c r="D11" t="n">
        <v>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2026-06-08T21:02:43Z</dcterms:created>
  <dcterms:modified xsi:type="dcterms:W3CDTF">2026-06-08T21:02:43Z</dcterms:modified>
</cp:coreProperties>
</file>