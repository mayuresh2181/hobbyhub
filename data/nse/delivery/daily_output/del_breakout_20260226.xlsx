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HYPERLINK("https://www.tradingview.com/chart/?symbol=NSE:HOMEFIRST", "HOMEFIRST")</f>
        <v/>
      </c>
      <c r="B2" t="n">
        <v>5875418</v>
      </c>
      <c r="C2" t="n">
        <v>370296</v>
      </c>
      <c r="D2" t="n">
        <v>15.87</v>
      </c>
    </row>
    <row r="3">
      <c r="A3">
        <f>HYPERLINK("https://www.tradingview.com/chart/?symbol=NSE:KSB", "KSB")</f>
        <v/>
      </c>
      <c r="B3" t="n">
        <v>796741</v>
      </c>
      <c r="C3" t="n">
        <v>61148.13333333333</v>
      </c>
      <c r="D3" t="n">
        <v>13.03</v>
      </c>
    </row>
    <row r="4">
      <c r="A4">
        <f>HYPERLINK("https://www.tradingview.com/chart/?symbol=NSE:ANGELONE", "ANGELONE")</f>
        <v/>
      </c>
      <c r="B4" t="n">
        <v>2314106</v>
      </c>
      <c r="C4" t="n">
        <v>316529.7</v>
      </c>
      <c r="D4" t="n">
        <v>7.31</v>
      </c>
    </row>
    <row r="5">
      <c r="A5">
        <f>HYPERLINK("https://www.tradingview.com/chart/?symbol=NSE:IPCALAB", "IPCALAB")</f>
        <v/>
      </c>
      <c r="B5" t="n">
        <v>590911</v>
      </c>
      <c r="C5" t="n">
        <v>90239.83333333333</v>
      </c>
      <c r="D5" t="n">
        <v>6.55</v>
      </c>
    </row>
    <row r="6">
      <c r="A6">
        <f>HYPERLINK("https://www.tradingview.com/chart/?symbol=NSE:TEJASNET", "TEJASNET")</f>
        <v/>
      </c>
      <c r="B6" t="n">
        <v>3826275</v>
      </c>
      <c r="C6" t="n">
        <v>623934.9333333333</v>
      </c>
      <c r="D6" t="n">
        <v>6.13</v>
      </c>
    </row>
    <row r="7">
      <c r="A7">
        <f>HYPERLINK("https://www.tradingview.com/chart/?symbol=NSE:J&amp;KBANK", "J&amp;KBANK")</f>
        <v/>
      </c>
      <c r="B7" t="n">
        <v>11181345</v>
      </c>
      <c r="C7" t="n">
        <v>1975177.233333333</v>
      </c>
      <c r="D7" t="n">
        <v>5.66</v>
      </c>
    </row>
    <row r="8">
      <c r="A8">
        <f>HYPERLINK("https://www.tradingview.com/chart/?symbol=NSE:JSWCEMENT", "JSWCEMENT")</f>
        <v/>
      </c>
      <c r="B8" t="n">
        <v>8437152</v>
      </c>
      <c r="C8" t="n">
        <v>1550864.966666667</v>
      </c>
      <c r="D8" t="n">
        <v>5.44</v>
      </c>
    </row>
    <row r="9">
      <c r="A9">
        <f>HYPERLINK("https://www.tradingview.com/chart/?symbol=NSE:MANAPPURAM", "MANAPPURAM")</f>
        <v/>
      </c>
      <c r="B9" t="n">
        <v>10023758</v>
      </c>
      <c r="C9" t="n">
        <v>1871805.366666667</v>
      </c>
      <c r="D9" t="n">
        <v>5.36</v>
      </c>
    </row>
    <row r="10">
      <c r="A10">
        <f>HYPERLINK("https://www.tradingview.com/chart/?symbol=NSE:MANYAVAR", "MANYAVAR")</f>
        <v/>
      </c>
      <c r="B10" t="n">
        <v>473883</v>
      </c>
      <c r="C10" t="n">
        <v>94823.8</v>
      </c>
      <c r="D10" t="n">
        <v>5</v>
      </c>
    </row>
    <row r="11">
      <c r="A11">
        <f>HYPERLINK("https://www.tradingview.com/chart/?symbol=NSE:FINCABLES", "FINCABLES")</f>
        <v/>
      </c>
      <c r="B11" t="n">
        <v>575543</v>
      </c>
      <c r="C11" t="n">
        <v>119227.1</v>
      </c>
      <c r="D11" t="n">
        <v>4.83</v>
      </c>
    </row>
    <row r="12">
      <c r="A12">
        <f>HYPERLINK("https://www.tradingview.com/chart/?symbol=NSE:MANKIND", "MANKIND")</f>
        <v/>
      </c>
      <c r="B12" t="n">
        <v>1173511</v>
      </c>
      <c r="C12" t="n">
        <v>246790.5333333333</v>
      </c>
      <c r="D12" t="n">
        <v>4.76</v>
      </c>
    </row>
    <row r="13">
      <c r="A13">
        <f>HYPERLINK("https://www.tradingview.com/chart/?symbol=NSE:CONCORDBIO", "CONCORDBIO")</f>
        <v/>
      </c>
      <c r="B13" t="n">
        <v>382480</v>
      </c>
      <c r="C13" t="n">
        <v>82362.8</v>
      </c>
      <c r="D13" t="n">
        <v>4.64</v>
      </c>
    </row>
    <row r="14">
      <c r="A14">
        <f>HYPERLINK("https://www.tradingview.com/chart/?symbol=NSE:VMM", "VMM")</f>
        <v/>
      </c>
      <c r="B14" t="n">
        <v>20326861</v>
      </c>
      <c r="C14" t="n">
        <v>4765317.333333333</v>
      </c>
      <c r="D14" t="n">
        <v>4.27</v>
      </c>
    </row>
    <row r="15">
      <c r="A15">
        <f>HYPERLINK("https://www.tradingview.com/chart/?symbol=NSE:CHOLAFIN", "CHOLAFIN")</f>
        <v/>
      </c>
      <c r="B15" t="n">
        <v>3781252</v>
      </c>
      <c r="C15" t="n">
        <v>963722.7666666667</v>
      </c>
      <c r="D15" t="n">
        <v>3.92</v>
      </c>
    </row>
    <row r="16">
      <c r="A16">
        <f>HYPERLINK("https://www.tradingview.com/chart/?symbol=NSE:RHIM", "RHIM")</f>
        <v/>
      </c>
      <c r="B16" t="n">
        <v>315057</v>
      </c>
      <c r="C16" t="n">
        <v>95316.89999999999</v>
      </c>
      <c r="D16" t="n">
        <v>3.31</v>
      </c>
    </row>
    <row r="17">
      <c r="A17">
        <f>HYPERLINK("https://www.tradingview.com/chart/?symbol=NSE:MAHSEAMLES", "MAHSEAMLES")</f>
        <v/>
      </c>
      <c r="B17" t="n">
        <v>208971</v>
      </c>
      <c r="C17" t="n">
        <v>64384.86666666667</v>
      </c>
      <c r="D17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2026-02-27T19:54:54Z</dcterms:created>
  <dcterms:modified xsi:type="dcterms:W3CDTF">2026-02-27T19:54:54Z</dcterms:modified>
</cp:coreProperties>
</file>