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HYPERLINK("https://www.tradingview.com/chart/?symbol=NSE:UBL", "UBL")</f>
        <v/>
      </c>
      <c r="B2" t="n">
        <v>1721708</v>
      </c>
      <c r="C2" t="n">
        <v>108862.4</v>
      </c>
      <c r="D2" t="n">
        <v>15.82</v>
      </c>
    </row>
    <row r="3">
      <c r="A3">
        <f>HYPERLINK("https://www.tradingview.com/chart/?symbol=NSE:ADANIENT", "ADANIENT")</f>
        <v/>
      </c>
      <c r="B3" t="n">
        <v>7036035</v>
      </c>
      <c r="C3" t="n">
        <v>684220.0666666667</v>
      </c>
      <c r="D3" t="n">
        <v>10.28</v>
      </c>
    </row>
    <row r="4">
      <c r="A4">
        <f>HYPERLINK("https://www.tradingview.com/chart/?symbol=NSE:SIGNATURE", "SIGNATURE")</f>
        <v/>
      </c>
      <c r="B4" t="n">
        <v>602982</v>
      </c>
      <c r="C4" t="n">
        <v>88486.43333333333</v>
      </c>
      <c r="D4" t="n">
        <v>6.81</v>
      </c>
    </row>
    <row r="5">
      <c r="A5">
        <f>HYPERLINK("https://www.tradingview.com/chart/?symbol=NSE:LODHA", "LODHA")</f>
        <v/>
      </c>
      <c r="B5" t="n">
        <v>6375346</v>
      </c>
      <c r="C5" t="n">
        <v>994603.3</v>
      </c>
      <c r="D5" t="n">
        <v>6.41</v>
      </c>
    </row>
    <row r="6">
      <c r="A6">
        <f>HYPERLINK("https://www.tradingview.com/chart/?symbol=NSE:BLS", "BLS")</f>
        <v/>
      </c>
      <c r="B6" t="n">
        <v>3846819</v>
      </c>
      <c r="C6" t="n">
        <v>616972.8666666667</v>
      </c>
      <c r="D6" t="n">
        <v>6.23</v>
      </c>
    </row>
    <row r="7">
      <c r="A7">
        <f>HYPERLINK("https://www.tradingview.com/chart/?symbol=NSE:ATUL", "ATUL")</f>
        <v/>
      </c>
      <c r="B7" t="n">
        <v>94582</v>
      </c>
      <c r="C7" t="n">
        <v>16699.56666666667</v>
      </c>
      <c r="D7" t="n">
        <v>5.66</v>
      </c>
    </row>
    <row r="8">
      <c r="A8">
        <f>HYPERLINK("https://www.tradingview.com/chart/?symbol=NSE:ALKYLAMINE", "ALKYLAMINE")</f>
        <v/>
      </c>
      <c r="B8" t="n">
        <v>108465</v>
      </c>
      <c r="C8" t="n">
        <v>22984.1</v>
      </c>
      <c r="D8" t="n">
        <v>4.72</v>
      </c>
    </row>
    <row r="9">
      <c r="A9">
        <f>HYPERLINK("https://www.tradingview.com/chart/?symbol=NSE:NIACL", "NIACL")</f>
        <v/>
      </c>
      <c r="B9" t="n">
        <v>981242</v>
      </c>
      <c r="C9" t="n">
        <v>216784.7666666667</v>
      </c>
      <c r="D9" t="n">
        <v>4.53</v>
      </c>
    </row>
    <row r="10">
      <c r="A10">
        <f>HYPERLINK("https://www.tradingview.com/chart/?symbol=NSE:APLLTD", "APLLTD")</f>
        <v/>
      </c>
      <c r="B10" t="n">
        <v>109880</v>
      </c>
      <c r="C10" t="n">
        <v>27583.23333333333</v>
      </c>
      <c r="D10" t="n">
        <v>3.98</v>
      </c>
    </row>
    <row r="11">
      <c r="A11">
        <f>HYPERLINK("https://www.tradingview.com/chart/?symbol=NSE:METROPOLIS", "METROPOLIS")</f>
        <v/>
      </c>
      <c r="B11" t="n">
        <v>124398</v>
      </c>
      <c r="C11" t="n">
        <v>31338.63333333334</v>
      </c>
      <c r="D11" t="n">
        <v>3.97</v>
      </c>
    </row>
    <row r="12">
      <c r="A12">
        <f>HYPERLINK("https://www.tradingview.com/chart/?symbol=NSE:SBFC", "SBFC")</f>
        <v/>
      </c>
      <c r="B12" t="n">
        <v>3320372</v>
      </c>
      <c r="C12" t="n">
        <v>844053.9</v>
      </c>
      <c r="D12" t="n">
        <v>3.93</v>
      </c>
    </row>
    <row r="13">
      <c r="A13">
        <f>HYPERLINK("https://www.tradingview.com/chart/?symbol=NSE:JBMA", "JBMA")</f>
        <v/>
      </c>
      <c r="B13" t="n">
        <v>867616</v>
      </c>
      <c r="C13" t="n">
        <v>228400.3333333333</v>
      </c>
      <c r="D13" t="n">
        <v>3.8</v>
      </c>
    </row>
    <row r="14">
      <c r="A14">
        <f>HYPERLINK("https://www.tradingview.com/chart/?symbol=NSE:MEDANTA", "MEDANTA")</f>
        <v/>
      </c>
      <c r="B14" t="n">
        <v>328934</v>
      </c>
      <c r="C14" t="n">
        <v>88599.39999999999</v>
      </c>
      <c r="D14" t="n">
        <v>3.71</v>
      </c>
    </row>
    <row r="15">
      <c r="A15">
        <f>HYPERLINK("https://www.tradingview.com/chart/?symbol=NSE:360ONE", "360ONE")</f>
        <v/>
      </c>
      <c r="B15" t="n">
        <v>1538101</v>
      </c>
      <c r="C15" t="n">
        <v>425595.6333333334</v>
      </c>
      <c r="D15" t="n">
        <v>3.61</v>
      </c>
    </row>
    <row r="16">
      <c r="A16">
        <f>HYPERLINK("https://www.tradingview.com/chart/?symbol=NSE:APTUS", "APTUS")</f>
        <v/>
      </c>
      <c r="B16" t="n">
        <v>3742282</v>
      </c>
      <c r="C16" t="n">
        <v>1035444.733333333</v>
      </c>
      <c r="D16" t="n">
        <v>3.61</v>
      </c>
    </row>
    <row r="17">
      <c r="A17">
        <f>HYPERLINK("https://www.tradingview.com/chart/?symbol=NSE:INDIAMART", "INDIAMART")</f>
        <v/>
      </c>
      <c r="B17" t="n">
        <v>352668</v>
      </c>
      <c r="C17" t="n">
        <v>98481.13333333333</v>
      </c>
      <c r="D17" t="n">
        <v>3.58</v>
      </c>
    </row>
    <row r="18">
      <c r="A18">
        <f>HYPERLINK("https://www.tradingview.com/chart/?symbol=NSE:CHOICEIN", "CHOICEIN")</f>
        <v/>
      </c>
      <c r="B18" t="n">
        <v>926286</v>
      </c>
      <c r="C18" t="n">
        <v>263490.7</v>
      </c>
      <c r="D18" t="n">
        <v>3.52</v>
      </c>
    </row>
    <row r="19">
      <c r="A19">
        <f>HYPERLINK("https://www.tradingview.com/chart/?symbol=NSE:DEEPAKNTR", "DEEPAKNTR")</f>
        <v/>
      </c>
      <c r="B19" t="n">
        <v>179726</v>
      </c>
      <c r="C19" t="n">
        <v>54956.53333333333</v>
      </c>
      <c r="D19" t="n">
        <v>3.27</v>
      </c>
    </row>
    <row r="20">
      <c r="A20">
        <f>HYPERLINK("https://www.tradingview.com/chart/?symbol=NSE:GUJGASLTD", "GUJGASLTD")</f>
        <v/>
      </c>
      <c r="B20" t="n">
        <v>1017302</v>
      </c>
      <c r="C20" t="n">
        <v>316078.7333333333</v>
      </c>
      <c r="D20" t="n">
        <v>3.22</v>
      </c>
    </row>
    <row r="21">
      <c r="A21">
        <f>HYPERLINK("https://www.tradingview.com/chart/?symbol=NSE:BAJAJHFL", "BAJAJHFL")</f>
        <v/>
      </c>
      <c r="B21" t="n">
        <v>9299092</v>
      </c>
      <c r="C21" t="n">
        <v>2947987.733333333</v>
      </c>
      <c r="D21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2026-03-25T19:30:32Z</dcterms:created>
  <dcterms:modified xsi:type="dcterms:W3CDTF">2026-03-25T19:30:32Z</dcterms:modified>
</cp:coreProperties>
</file>