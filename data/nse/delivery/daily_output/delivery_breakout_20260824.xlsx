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HYPERLINK("https://www.tradingview.com/chart/?symbol=NSE:VMM","VMM")</f>
        <v/>
      </c>
      <c r="B2" t="n">
        <v>113.5</v>
      </c>
      <c r="C2" t="n">
        <v>154604116</v>
      </c>
      <c r="D2" t="n">
        <v>40151527</v>
      </c>
      <c r="E2" t="n">
        <v>25.97</v>
      </c>
      <c r="F2" t="n">
        <v>5077185.566666666</v>
      </c>
      <c r="G2" t="n">
        <v>7.91</v>
      </c>
      <c r="H2" t="n">
        <v>1754.76</v>
      </c>
      <c r="I2" t="n">
        <v>455.72</v>
      </c>
    </row>
    <row r="3">
      <c r="A3">
        <f>HYPERLINK("https://www.tradingview.com/chart/?symbol=NSE:BLS","BLS")</f>
        <v/>
      </c>
      <c r="B3" t="n">
        <v>241.51</v>
      </c>
      <c r="C3" t="n">
        <v>29683584</v>
      </c>
      <c r="D3" t="n">
        <v>6291636</v>
      </c>
      <c r="E3" t="n">
        <v>21.2</v>
      </c>
      <c r="F3" t="n">
        <v>650563.9333333333</v>
      </c>
      <c r="G3" t="n">
        <v>9.67</v>
      </c>
      <c r="H3" t="n">
        <v>716.89</v>
      </c>
      <c r="I3" t="n">
        <v>151.95</v>
      </c>
    </row>
    <row r="4">
      <c r="A4">
        <f>HYPERLINK("https://www.tradingview.com/chart/?symbol=NSE:IDBI","IDBI")</f>
        <v/>
      </c>
      <c r="B4" t="n">
        <v>87.93000000000001</v>
      </c>
      <c r="C4" t="n">
        <v>72743077</v>
      </c>
      <c r="D4" t="n">
        <v>17116067</v>
      </c>
      <c r="E4" t="n">
        <v>23.53</v>
      </c>
      <c r="F4" t="n">
        <v>2582856.966666667</v>
      </c>
      <c r="G4" t="n">
        <v>6.63</v>
      </c>
      <c r="H4" t="n">
        <v>639.63</v>
      </c>
      <c r="I4" t="n">
        <v>150.5</v>
      </c>
    </row>
    <row r="5">
      <c r="A5">
        <f>HYPERLINK("https://www.tradingview.com/chart/?symbol=NSE:BALUFORGE","BALUFORGE")</f>
        <v/>
      </c>
      <c r="B5" t="n">
        <v>632.2</v>
      </c>
      <c r="C5" t="n">
        <v>15544329</v>
      </c>
      <c r="D5" t="n">
        <v>2190407</v>
      </c>
      <c r="E5" t="n">
        <v>14.09</v>
      </c>
      <c r="F5" t="n">
        <v>404577.5666666667</v>
      </c>
      <c r="G5" t="n">
        <v>5.41</v>
      </c>
      <c r="H5" t="n">
        <v>982.71</v>
      </c>
      <c r="I5" t="n">
        <v>138.48</v>
      </c>
    </row>
    <row r="6">
      <c r="A6">
        <f>HYPERLINK("https://www.tradingview.com/chart/?symbol=NSE:LTFOODS","LTFOODS")</f>
        <v/>
      </c>
      <c r="B6" t="n">
        <v>459</v>
      </c>
      <c r="C6" t="n">
        <v>41891152</v>
      </c>
      <c r="D6" t="n">
        <v>2954272</v>
      </c>
      <c r="E6" t="n">
        <v>7.05</v>
      </c>
      <c r="F6" t="n">
        <v>226853.8666666667</v>
      </c>
      <c r="G6" t="n">
        <v>13.02</v>
      </c>
      <c r="H6" t="n">
        <v>1922.8</v>
      </c>
      <c r="I6" t="n">
        <v>135.6</v>
      </c>
    </row>
    <row r="7">
      <c r="A7">
        <f>HYPERLINK("https://www.tradingview.com/chart/?symbol=NSE:SETL","SETL")</f>
        <v/>
      </c>
      <c r="B7" t="n">
        <v>312.35</v>
      </c>
      <c r="C7" t="n">
        <v>4038144</v>
      </c>
      <c r="D7" t="n">
        <v>3255582</v>
      </c>
      <c r="E7" t="n">
        <v>80.62</v>
      </c>
      <c r="F7" t="n">
        <v>388399.0666666667</v>
      </c>
      <c r="G7" t="n">
        <v>8.380000000000001</v>
      </c>
      <c r="H7" t="n">
        <v>126.13</v>
      </c>
      <c r="I7" t="n">
        <v>101.69</v>
      </c>
    </row>
    <row r="8">
      <c r="A8">
        <f>HYPERLINK("https://www.tradingview.com/chart/?symbol=NSE:BAJAJHIND","BAJAJHIND")</f>
        <v/>
      </c>
      <c r="B8" t="n">
        <v>24.23</v>
      </c>
      <c r="C8" t="n">
        <v>238394490</v>
      </c>
      <c r="D8" t="n">
        <v>32790832</v>
      </c>
      <c r="E8" t="n">
        <v>13.75</v>
      </c>
      <c r="F8" t="n">
        <v>4895692.166666667</v>
      </c>
      <c r="G8" t="n">
        <v>6.7</v>
      </c>
      <c r="H8" t="n">
        <v>577.63</v>
      </c>
      <c r="I8" t="n">
        <v>79.45</v>
      </c>
    </row>
    <row r="9">
      <c r="A9">
        <f>HYPERLINK("https://www.tradingview.com/chart/?symbol=NSE:BANKNIFTY1","BANKNIFTY1")</f>
        <v/>
      </c>
      <c r="B9" t="n">
        <v>59.53</v>
      </c>
      <c r="C9" t="n">
        <v>12231638</v>
      </c>
      <c r="D9" t="n">
        <v>12118937</v>
      </c>
      <c r="E9" t="n">
        <v>99.08</v>
      </c>
      <c r="F9" t="n">
        <v>447951.2333333333</v>
      </c>
      <c r="G9" t="n">
        <v>27.05</v>
      </c>
      <c r="H9" t="n">
        <v>72.81</v>
      </c>
      <c r="I9" t="n">
        <v>72.14</v>
      </c>
    </row>
    <row r="10">
      <c r="A10">
        <f>HYPERLINK("https://www.tradingview.com/chart/?symbol=NSE:RENUKA","RENUKA")</f>
        <v/>
      </c>
      <c r="B10" t="n">
        <v>25.47</v>
      </c>
      <c r="C10" t="n">
        <v>120525051</v>
      </c>
      <c r="D10" t="n">
        <v>27875237</v>
      </c>
      <c r="E10" t="n">
        <v>23.13</v>
      </c>
      <c r="F10" t="n">
        <v>3296023.366666667</v>
      </c>
      <c r="G10" t="n">
        <v>8.460000000000001</v>
      </c>
      <c r="H10" t="n">
        <v>306.98</v>
      </c>
      <c r="I10" t="n">
        <v>71</v>
      </c>
    </row>
    <row r="11">
      <c r="A11">
        <f>HYPERLINK("https://www.tradingview.com/chart/?symbol=NSE:QUADFUTURE","QUADFUTURE")</f>
        <v/>
      </c>
      <c r="B11" t="n">
        <v>447.3</v>
      </c>
      <c r="C11" t="n">
        <v>23856672</v>
      </c>
      <c r="D11" t="n">
        <v>1578744</v>
      </c>
      <c r="E11" t="n">
        <v>6.62</v>
      </c>
      <c r="F11" t="n">
        <v>150960.0333333333</v>
      </c>
      <c r="G11" t="n">
        <v>10.46</v>
      </c>
      <c r="H11" t="n">
        <v>1067.11</v>
      </c>
      <c r="I11" t="n">
        <v>70.62</v>
      </c>
    </row>
    <row r="12">
      <c r="A12">
        <f>HYPERLINK("https://www.tradingview.com/chart/?symbol=NSE:KRBL","KRBL")</f>
        <v/>
      </c>
      <c r="B12" t="n">
        <v>437.8</v>
      </c>
      <c r="C12" t="n">
        <v>5300520</v>
      </c>
      <c r="D12" t="n">
        <v>1581115</v>
      </c>
      <c r="E12" t="n">
        <v>29.83</v>
      </c>
      <c r="F12" t="n">
        <v>207676.3333333333</v>
      </c>
      <c r="G12" t="n">
        <v>7.61</v>
      </c>
      <c r="H12" t="n">
        <v>232.06</v>
      </c>
      <c r="I12" t="n">
        <v>69.22</v>
      </c>
    </row>
    <row r="13">
      <c r="A13">
        <f>HYPERLINK("https://www.tradingview.com/chart/?symbol=NSE:JUBLPHARMA","JUBLPHARMA")</f>
        <v/>
      </c>
      <c r="B13" t="n">
        <v>902.7</v>
      </c>
      <c r="C13" t="n">
        <v>1931803</v>
      </c>
      <c r="D13" t="n">
        <v>673640</v>
      </c>
      <c r="E13" t="n">
        <v>34.87</v>
      </c>
      <c r="F13" t="n">
        <v>122612.9666666667</v>
      </c>
      <c r="G13" t="n">
        <v>5.49</v>
      </c>
      <c r="H13" t="n">
        <v>174.38</v>
      </c>
      <c r="I13" t="n">
        <v>60.81</v>
      </c>
    </row>
    <row r="14">
      <c r="A14">
        <f>HYPERLINK("https://www.tradingview.com/chart/?symbol=NSE:RATNAMANI","RATNAMANI")</f>
        <v/>
      </c>
      <c r="B14" t="n">
        <v>2697</v>
      </c>
      <c r="C14" t="n">
        <v>903553</v>
      </c>
      <c r="D14" t="n">
        <v>193916</v>
      </c>
      <c r="E14" t="n">
        <v>21.46</v>
      </c>
      <c r="F14" t="n">
        <v>24079.46666666667</v>
      </c>
      <c r="G14" t="n">
        <v>8.050000000000001</v>
      </c>
      <c r="H14" t="n">
        <v>243.69</v>
      </c>
      <c r="I14" t="n">
        <v>52.3</v>
      </c>
    </row>
    <row r="15">
      <c r="A15">
        <f>HYPERLINK("https://www.tradingview.com/chart/?symbol=NSE:ORIENTHOT","ORIENTHOT")</f>
        <v/>
      </c>
      <c r="B15" t="n">
        <v>141.78</v>
      </c>
      <c r="C15" t="n">
        <v>7098313</v>
      </c>
      <c r="D15" t="n">
        <v>3613376</v>
      </c>
      <c r="E15" t="n">
        <v>50.9</v>
      </c>
      <c r="F15" t="n">
        <v>373888.2666666667</v>
      </c>
      <c r="G15" t="n">
        <v>9.66</v>
      </c>
      <c r="H15" t="n">
        <v>100.64</v>
      </c>
      <c r="I15" t="n">
        <v>51.23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2026-08-24T19:15:25Z</dcterms:created>
  <dcterms:modified xsi:type="dcterms:W3CDTF">2026-08-24T19:15:26Z</dcterms:modified>
</cp:coreProperties>
</file>