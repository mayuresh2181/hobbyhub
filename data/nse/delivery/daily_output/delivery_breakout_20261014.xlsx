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HYPERLINK("https://www.tradingview.com/chart/?symbol=NSE:MEESHO","MEESHO")</f>
        <v/>
      </c>
      <c r="B2" t="n">
        <v>228.35</v>
      </c>
      <c r="C2" t="n">
        <v>87219086</v>
      </c>
      <c r="D2" t="n">
        <v>53950693</v>
      </c>
      <c r="E2" t="n">
        <v>61.86</v>
      </c>
      <c r="F2" t="n">
        <v>9414807.699999999</v>
      </c>
      <c r="G2" t="n">
        <v>5.73</v>
      </c>
      <c r="H2" t="n">
        <v>1991.65</v>
      </c>
      <c r="I2" t="n">
        <v>1231.96</v>
      </c>
    </row>
    <row r="3">
      <c r="A3">
        <f>HYPERLINK("https://www.tradingview.com/chart/?symbol=NSE:TARIL","TARIL")</f>
        <v/>
      </c>
      <c r="B3" t="n">
        <v>349.5</v>
      </c>
      <c r="C3" t="n">
        <v>69007422</v>
      </c>
      <c r="D3" t="n">
        <v>11018810</v>
      </c>
      <c r="E3" t="n">
        <v>15.97</v>
      </c>
      <c r="F3" t="n">
        <v>752524</v>
      </c>
      <c r="G3" t="n">
        <v>14.64</v>
      </c>
      <c r="H3" t="n">
        <v>2411.81</v>
      </c>
      <c r="I3" t="n">
        <v>385.11</v>
      </c>
    </row>
    <row r="4">
      <c r="A4">
        <f>HYPERLINK("https://www.tradingview.com/chart/?symbol=NSE:IDBI","IDBI")</f>
        <v/>
      </c>
      <c r="B4" t="n">
        <v>90.39</v>
      </c>
      <c r="C4" t="n">
        <v>148602851</v>
      </c>
      <c r="D4" t="n">
        <v>36468564</v>
      </c>
      <c r="E4" t="n">
        <v>24.54</v>
      </c>
      <c r="F4" t="n">
        <v>5264745</v>
      </c>
      <c r="G4" t="n">
        <v>6.93</v>
      </c>
      <c r="H4" t="n">
        <v>1343.22</v>
      </c>
      <c r="I4" t="n">
        <v>329.64</v>
      </c>
    </row>
    <row r="5">
      <c r="A5">
        <f>HYPERLINK("https://www.tradingview.com/chart/?symbol=NSE:HDFCBSE500","HDFCBSE500")</f>
        <v/>
      </c>
      <c r="B5" t="n">
        <v>35.48</v>
      </c>
      <c r="C5" t="n">
        <v>29822936</v>
      </c>
      <c r="D5" t="n">
        <v>29650933</v>
      </c>
      <c r="E5" t="n">
        <v>99.42</v>
      </c>
      <c r="F5" t="n">
        <v>1656597.466666667</v>
      </c>
      <c r="G5" t="n">
        <v>17.9</v>
      </c>
      <c r="H5" t="n">
        <v>105.81</v>
      </c>
      <c r="I5" t="n">
        <v>105.2</v>
      </c>
    </row>
    <row r="6">
      <c r="A6">
        <f>HYPERLINK("https://www.tradingview.com/chart/?symbol=NSE:ELECON","ELECON")</f>
        <v/>
      </c>
      <c r="B6" t="n">
        <v>486.9</v>
      </c>
      <c r="C6" t="n">
        <v>23156626</v>
      </c>
      <c r="D6" t="n">
        <v>1958519</v>
      </c>
      <c r="E6" t="n">
        <v>8.460000000000001</v>
      </c>
      <c r="F6" t="n">
        <v>260631.3333333333</v>
      </c>
      <c r="G6" t="n">
        <v>7.51</v>
      </c>
      <c r="H6" t="n">
        <v>1127.5</v>
      </c>
      <c r="I6" t="n">
        <v>95.36</v>
      </c>
    </row>
    <row r="7">
      <c r="A7">
        <f>HYPERLINK("https://www.tradingview.com/chart/?symbol=NSE:WSTCSTPAPR","WSTCSTPAPR")</f>
        <v/>
      </c>
      <c r="B7" t="n">
        <v>940.45</v>
      </c>
      <c r="C7" t="n">
        <v>6111695</v>
      </c>
      <c r="D7" t="n">
        <v>873568</v>
      </c>
      <c r="E7" t="n">
        <v>14.29</v>
      </c>
      <c r="F7" t="n">
        <v>150165.1666666667</v>
      </c>
      <c r="G7" t="n">
        <v>5.82</v>
      </c>
      <c r="H7" t="n">
        <v>574.77</v>
      </c>
      <c r="I7" t="n">
        <v>82.15000000000001</v>
      </c>
    </row>
    <row r="8">
      <c r="A8">
        <f>HYPERLINK("https://www.tradingview.com/chart/?symbol=NSE:GODIGIT","GODIGIT")</f>
        <v/>
      </c>
      <c r="B8" t="n">
        <v>284</v>
      </c>
      <c r="C8" t="n">
        <v>2859774</v>
      </c>
      <c r="D8" t="n">
        <v>2403559</v>
      </c>
      <c r="E8" t="n">
        <v>84.05</v>
      </c>
      <c r="F8" t="n">
        <v>450957.5</v>
      </c>
      <c r="G8" t="n">
        <v>5.33</v>
      </c>
      <c r="H8" t="n">
        <v>81.22</v>
      </c>
      <c r="I8" t="n">
        <v>68.26000000000001</v>
      </c>
    </row>
    <row r="9">
      <c r="A9">
        <f>HYPERLINK("https://www.tradingview.com/chart/?symbol=NSE:PNCINFRA","PNCINFRA")</f>
        <v/>
      </c>
      <c r="B9" t="n">
        <v>148.62</v>
      </c>
      <c r="C9" t="n">
        <v>47587648</v>
      </c>
      <c r="D9" t="n">
        <v>4056019</v>
      </c>
      <c r="E9" t="n">
        <v>8.52</v>
      </c>
      <c r="F9" t="n">
        <v>771595.9333333333</v>
      </c>
      <c r="G9" t="n">
        <v>5.26</v>
      </c>
      <c r="H9" t="n">
        <v>707.25</v>
      </c>
      <c r="I9" t="n">
        <v>60.28</v>
      </c>
    </row>
    <row r="10">
      <c r="A10">
        <f>HYPERLINK("https://www.tradingview.com/chart/?symbol=NSE:AONELIQUID","AONELIQUID")</f>
        <v/>
      </c>
      <c r="B10" t="n">
        <v>1081.06</v>
      </c>
      <c r="C10" t="n">
        <v>500973</v>
      </c>
      <c r="D10" t="n">
        <v>494387</v>
      </c>
      <c r="E10" t="n">
        <v>98.69</v>
      </c>
      <c r="F10" t="n">
        <v>14093.63333333333</v>
      </c>
      <c r="G10" t="n">
        <v>35.08</v>
      </c>
      <c r="H10" t="n">
        <v>54.16</v>
      </c>
      <c r="I10" t="n">
        <v>53.45</v>
      </c>
    </row>
    <row r="11">
      <c r="A11">
        <f>HYPERLINK("https://www.tradingview.com/chart/?symbol=NSE:SHRINGARMS","SHRINGARMS")</f>
        <v/>
      </c>
      <c r="B11" t="n">
        <v>317.74</v>
      </c>
      <c r="C11" t="n">
        <v>25069586</v>
      </c>
      <c r="D11" t="n">
        <v>1676270</v>
      </c>
      <c r="E11" t="n">
        <v>6.69</v>
      </c>
      <c r="F11" t="n">
        <v>311687.3</v>
      </c>
      <c r="G11" t="n">
        <v>5.38</v>
      </c>
      <c r="H11" t="n">
        <v>796.5599999999999</v>
      </c>
      <c r="I11" t="n">
        <v>53.26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2026-10-14T21:54:53Z</dcterms:created>
  <dcterms:modified xsi:type="dcterms:W3CDTF">2026-10-14T21:54:53Z</dcterms:modified>
</cp:coreProperties>
</file>