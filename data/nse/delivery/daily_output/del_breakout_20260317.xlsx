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DELIV_QTY</t>
        </is>
      </c>
      <c r="C1" s="1" t="inlineStr">
        <is>
          <t>AVG_30_DELIV_QTY</t>
        </is>
      </c>
      <c r="D1" s="1" t="inlineStr">
        <is>
          <t>RATIO</t>
        </is>
      </c>
    </row>
    <row r="2">
      <c r="A2">
        <f>HYPERLINK("https://www.tradingview.com/chart/?symbol=NSE:ITI", "ITI")</f>
        <v/>
      </c>
      <c r="B2" t="n">
        <v>1837946</v>
      </c>
      <c r="C2" t="n">
        <v>244988.5</v>
      </c>
      <c r="D2" t="n">
        <v>7.5</v>
      </c>
    </row>
    <row r="3">
      <c r="A3">
        <f>HYPERLINK("https://www.tradingview.com/chart/?symbol=NSE:SBFC", "SBFC")</f>
        <v/>
      </c>
      <c r="B3" t="n">
        <v>4714343</v>
      </c>
      <c r="C3" t="n">
        <v>645046.6</v>
      </c>
      <c r="D3" t="n">
        <v>7.31</v>
      </c>
    </row>
    <row r="4">
      <c r="A4">
        <f>HYPERLINK("https://www.tradingview.com/chart/?symbol=NSE:KPIL", "KPIL")</f>
        <v/>
      </c>
      <c r="B4" t="n">
        <v>525032</v>
      </c>
      <c r="C4" t="n">
        <v>109001.7666666667</v>
      </c>
      <c r="D4" t="n">
        <v>4.82</v>
      </c>
    </row>
    <row r="5">
      <c r="A5">
        <f>HYPERLINK("https://www.tradingview.com/chart/?symbol=NSE:JYOTICNC", "JYOTICNC")</f>
        <v/>
      </c>
      <c r="B5" t="n">
        <v>616006</v>
      </c>
      <c r="C5" t="n">
        <v>167800.3</v>
      </c>
      <c r="D5" t="n">
        <v>3.67</v>
      </c>
    </row>
    <row r="6">
      <c r="A6">
        <f>HYPERLINK("https://www.tradingview.com/chart/?symbol=NSE:THERMAX", "THERMAX")</f>
        <v/>
      </c>
      <c r="B6" t="n">
        <v>319401</v>
      </c>
      <c r="C6" t="n">
        <v>88179.39999999999</v>
      </c>
      <c r="D6" t="n">
        <v>3.62</v>
      </c>
    </row>
    <row r="7">
      <c r="A7">
        <f>HYPERLINK("https://www.tradingview.com/chart/?symbol=NSE:INDIAMART", "INDIAMART")</f>
        <v/>
      </c>
      <c r="B7" t="n">
        <v>301454</v>
      </c>
      <c r="C7" t="n">
        <v>90521.43333333333</v>
      </c>
      <c r="D7" t="n">
        <v>3.33</v>
      </c>
    </row>
    <row r="8">
      <c r="A8">
        <f>HYPERLINK("https://www.tradingview.com/chart/?symbol=NSE:AEGISLOG", "AEGISLOG")</f>
        <v/>
      </c>
      <c r="B8" t="n">
        <v>708020</v>
      </c>
      <c r="C8" t="n">
        <v>222600.6666666667</v>
      </c>
      <c r="D8" t="n">
        <v>3.18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2026-03-18T20:03:23Z</dcterms:created>
  <dcterms:modified xsi:type="dcterms:W3CDTF">2026-03-18T20:03:23Z</dcterms:modified>
</cp:coreProperties>
</file>