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HYPERLINK("https://www.tradingview.com/chart/?symbol=NSE:BALRAMCHIN","BALRAMCHIN")</f>
        <v/>
      </c>
      <c r="B2" t="n">
        <v>767.1</v>
      </c>
      <c r="C2" t="n">
        <v>33514941</v>
      </c>
      <c r="D2" t="n">
        <v>4426907</v>
      </c>
      <c r="E2" t="n">
        <v>13.21</v>
      </c>
      <c r="F2" t="n">
        <v>295529.6333333334</v>
      </c>
      <c r="G2" t="n">
        <v>14.98</v>
      </c>
      <c r="H2" t="n">
        <v>2570.93</v>
      </c>
      <c r="I2" t="n">
        <v>339.59</v>
      </c>
    </row>
    <row r="3">
      <c r="A3">
        <f>HYPERLINK("https://www.tradingview.com/chart/?symbol=NSE:LIQUIDETF","LIQUIDETF")</f>
        <v/>
      </c>
      <c r="B3" t="n">
        <v>999.99</v>
      </c>
      <c r="C3" t="n">
        <v>1717983</v>
      </c>
      <c r="D3" t="n">
        <v>1697381</v>
      </c>
      <c r="E3" t="n">
        <v>98.8</v>
      </c>
      <c r="F3" t="n">
        <v>274299.4666666667</v>
      </c>
      <c r="G3" t="n">
        <v>6.19</v>
      </c>
      <c r="H3" t="n">
        <v>171.8</v>
      </c>
      <c r="I3" t="n">
        <v>169.74</v>
      </c>
    </row>
    <row r="4">
      <c r="A4">
        <f>HYPERLINK("https://www.tradingview.com/chart/?symbol=NSE:GENUSPOWER","GENUSPOWER")</f>
        <v/>
      </c>
      <c r="B4" t="n">
        <v>334.25</v>
      </c>
      <c r="C4" t="n">
        <v>16393463</v>
      </c>
      <c r="D4" t="n">
        <v>4507121</v>
      </c>
      <c r="E4" t="n">
        <v>27.49</v>
      </c>
      <c r="F4" t="n">
        <v>803875.0666666667</v>
      </c>
      <c r="G4" t="n">
        <v>5.61</v>
      </c>
      <c r="H4" t="n">
        <v>547.95</v>
      </c>
      <c r="I4" t="n">
        <v>150.65</v>
      </c>
    </row>
    <row r="5">
      <c r="A5">
        <f>HYPERLINK("https://www.tradingview.com/chart/?symbol=NSE:PFIZER","PFIZER")</f>
        <v/>
      </c>
      <c r="B5" t="n">
        <v>4920</v>
      </c>
      <c r="C5" t="n">
        <v>297497</v>
      </c>
      <c r="D5" t="n">
        <v>257747</v>
      </c>
      <c r="E5" t="n">
        <v>86.64</v>
      </c>
      <c r="F5" t="n">
        <v>22414.63333333334</v>
      </c>
      <c r="G5" t="n">
        <v>11.5</v>
      </c>
      <c r="H5" t="n">
        <v>146.37</v>
      </c>
      <c r="I5" t="n">
        <v>126.81</v>
      </c>
    </row>
    <row r="6">
      <c r="A6">
        <f>HYPERLINK("https://www.tradingview.com/chart/?symbol=NSE:STAR","STAR")</f>
        <v/>
      </c>
      <c r="B6" t="n">
        <v>993</v>
      </c>
      <c r="C6" t="n">
        <v>4948966</v>
      </c>
      <c r="D6" t="n">
        <v>846210</v>
      </c>
      <c r="E6" t="n">
        <v>17.1</v>
      </c>
      <c r="F6" t="n">
        <v>109449.9</v>
      </c>
      <c r="G6" t="n">
        <v>7.73</v>
      </c>
      <c r="H6" t="n">
        <v>491.43</v>
      </c>
      <c r="I6" t="n">
        <v>84.03</v>
      </c>
    </row>
    <row r="7">
      <c r="A7">
        <f>HYPERLINK("https://www.tradingview.com/chart/?symbol=NSE:BAJAJHIND","BAJAJHIND")</f>
        <v/>
      </c>
      <c r="B7" t="n">
        <v>23.33</v>
      </c>
      <c r="C7" t="n">
        <v>256556792</v>
      </c>
      <c r="D7" t="n">
        <v>32048806</v>
      </c>
      <c r="E7" t="n">
        <v>12.49</v>
      </c>
      <c r="F7" t="n">
        <v>3202552.266666667</v>
      </c>
      <c r="G7" t="n">
        <v>10.01</v>
      </c>
      <c r="H7" t="n">
        <v>598.55</v>
      </c>
      <c r="I7" t="n">
        <v>74.77</v>
      </c>
    </row>
    <row r="8">
      <c r="A8">
        <f>HYPERLINK("https://www.tradingview.com/chart/?symbol=NSE:MEDPLUS","MEDPLUS")</f>
        <v/>
      </c>
      <c r="B8" t="n">
        <v>656.3</v>
      </c>
      <c r="C8" t="n">
        <v>1206024</v>
      </c>
      <c r="D8" t="n">
        <v>864219</v>
      </c>
      <c r="E8" t="n">
        <v>71.66</v>
      </c>
      <c r="F8" t="n">
        <v>126762.0333333333</v>
      </c>
      <c r="G8" t="n">
        <v>6.82</v>
      </c>
      <c r="H8" t="n">
        <v>79.15000000000001</v>
      </c>
      <c r="I8" t="n">
        <v>56.72</v>
      </c>
    </row>
    <row r="9">
      <c r="A9">
        <f>HYPERLINK("https://www.tradingview.com/chart/?symbol=NSE:RENUKA","RENUKA")</f>
        <v/>
      </c>
      <c r="B9" t="n">
        <v>26.13</v>
      </c>
      <c r="C9" t="n">
        <v>95136169</v>
      </c>
      <c r="D9" t="n">
        <v>21370159</v>
      </c>
      <c r="E9" t="n">
        <v>22.46</v>
      </c>
      <c r="F9" t="n">
        <v>2098103.433333333</v>
      </c>
      <c r="G9" t="n">
        <v>10.19</v>
      </c>
      <c r="H9" t="n">
        <v>248.59</v>
      </c>
      <c r="I9" t="n">
        <v>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2026-08-20T19:16:27Z</dcterms:created>
  <dcterms:modified xsi:type="dcterms:W3CDTF">2026-08-20T19:16:27Z</dcterms:modified>
</cp:coreProperties>
</file>