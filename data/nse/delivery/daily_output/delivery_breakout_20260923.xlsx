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HYPERLINK("https://www.tradingview.com/chart/?symbol=NSE:OLAELEC","OLAELEC")</f>
        <v/>
      </c>
      <c r="B2" t="n">
        <v>41.87</v>
      </c>
      <c r="C2" t="n">
        <v>390177989</v>
      </c>
      <c r="D2" t="n">
        <v>70893374</v>
      </c>
      <c r="E2" t="n">
        <v>18.17</v>
      </c>
      <c r="F2" t="n">
        <v>12019276.06666667</v>
      </c>
      <c r="G2" t="n">
        <v>5.9</v>
      </c>
      <c r="H2" t="n">
        <v>1633.68</v>
      </c>
      <c r="I2" t="n">
        <v>296.83</v>
      </c>
    </row>
    <row r="3">
      <c r="A3">
        <f>HYPERLINK("https://www.tradingview.com/chart/?symbol=NSE:360ONE","360ONE")</f>
        <v/>
      </c>
      <c r="B3" t="n">
        <v>1108</v>
      </c>
      <c r="C3" t="n">
        <v>3642452</v>
      </c>
      <c r="D3" t="n">
        <v>2031238</v>
      </c>
      <c r="E3" t="n">
        <v>55.77</v>
      </c>
      <c r="F3" t="n">
        <v>387619.8</v>
      </c>
      <c r="G3" t="n">
        <v>5.24</v>
      </c>
      <c r="H3" t="n">
        <v>403.58</v>
      </c>
      <c r="I3" t="n">
        <v>225.06</v>
      </c>
    </row>
    <row r="4">
      <c r="A4">
        <f>HYPERLINK("https://www.tradingview.com/chart/?symbol=NSE:OPTIEMUS","OPTIEMUS")</f>
        <v/>
      </c>
      <c r="B4" t="n">
        <v>828.35</v>
      </c>
      <c r="C4" t="n">
        <v>10628491</v>
      </c>
      <c r="D4" t="n">
        <v>2495169</v>
      </c>
      <c r="E4" t="n">
        <v>23.48</v>
      </c>
      <c r="F4" t="n">
        <v>148820.6</v>
      </c>
      <c r="G4" t="n">
        <v>16.77</v>
      </c>
      <c r="H4" t="n">
        <v>880.41</v>
      </c>
      <c r="I4" t="n">
        <v>206.69</v>
      </c>
    </row>
    <row r="5">
      <c r="A5">
        <f>HYPERLINK("https://www.tradingview.com/chart/?symbol=NSE:MARINE","MARINE")</f>
        <v/>
      </c>
      <c r="B5" t="n">
        <v>425.8</v>
      </c>
      <c r="C5" t="n">
        <v>19063839</v>
      </c>
      <c r="D5" t="n">
        <v>4714197</v>
      </c>
      <c r="E5" t="n">
        <v>24.73</v>
      </c>
      <c r="F5" t="n">
        <v>388134.3333333333</v>
      </c>
      <c r="G5" t="n">
        <v>12.15</v>
      </c>
      <c r="H5" t="n">
        <v>811.74</v>
      </c>
      <c r="I5" t="n">
        <v>200.73</v>
      </c>
    </row>
    <row r="6">
      <c r="A6">
        <f>HYPERLINK("https://www.tradingview.com/chart/?symbol=NSE:BLUESTONE","BLUESTONE")</f>
        <v/>
      </c>
      <c r="B6" t="n">
        <v>855.5</v>
      </c>
      <c r="C6" t="n">
        <v>9219890</v>
      </c>
      <c r="D6" t="n">
        <v>1717859</v>
      </c>
      <c r="E6" t="n">
        <v>18.63</v>
      </c>
      <c r="F6" t="n">
        <v>280426.1666666667</v>
      </c>
      <c r="G6" t="n">
        <v>6.13</v>
      </c>
      <c r="H6" t="n">
        <v>788.76</v>
      </c>
      <c r="I6" t="n">
        <v>146.96</v>
      </c>
    </row>
    <row r="7">
      <c r="A7">
        <f>HYPERLINK("https://www.tradingview.com/chart/?symbol=NSE:WHIRLPOOL","WHIRLPOOL")</f>
        <v/>
      </c>
      <c r="B7" t="n">
        <v>865.25</v>
      </c>
      <c r="C7" t="n">
        <v>10753329</v>
      </c>
      <c r="D7" t="n">
        <v>1589323</v>
      </c>
      <c r="E7" t="n">
        <v>14.78</v>
      </c>
      <c r="F7" t="n">
        <v>166749.8</v>
      </c>
      <c r="G7" t="n">
        <v>9.529999999999999</v>
      </c>
      <c r="H7" t="n">
        <v>930.4299999999999</v>
      </c>
      <c r="I7" t="n">
        <v>137.52</v>
      </c>
    </row>
    <row r="8">
      <c r="A8">
        <f>HYPERLINK("https://www.tradingview.com/chart/?symbol=NSE:RAYMONDREL","RAYMONDREL")</f>
        <v/>
      </c>
      <c r="B8" t="n">
        <v>671.45</v>
      </c>
      <c r="C8" t="n">
        <v>12802316</v>
      </c>
      <c r="D8" t="n">
        <v>1262217</v>
      </c>
      <c r="E8" t="n">
        <v>9.859999999999999</v>
      </c>
      <c r="F8" t="n">
        <v>206027.8</v>
      </c>
      <c r="G8" t="n">
        <v>6.13</v>
      </c>
      <c r="H8" t="n">
        <v>859.61</v>
      </c>
      <c r="I8" t="n">
        <v>84.75</v>
      </c>
    </row>
    <row r="9">
      <c r="A9">
        <f>HYPERLINK("https://www.tradingview.com/chart/?symbol=NSE:ABDL","ABDL")</f>
        <v/>
      </c>
      <c r="B9" t="n">
        <v>656.4</v>
      </c>
      <c r="C9" t="n">
        <v>2319309</v>
      </c>
      <c r="D9" t="n">
        <v>1084000</v>
      </c>
      <c r="E9" t="n">
        <v>46.74</v>
      </c>
      <c r="F9" t="n">
        <v>181919.3333333333</v>
      </c>
      <c r="G9" t="n">
        <v>5.96</v>
      </c>
      <c r="H9" t="n">
        <v>152.24</v>
      </c>
      <c r="I9" t="n">
        <v>71.15000000000001</v>
      </c>
    </row>
    <row r="10">
      <c r="A10">
        <f>HYPERLINK("https://www.tradingview.com/chart/?symbol=NSE:ELECON","ELECON")</f>
        <v/>
      </c>
      <c r="B10" t="n">
        <v>466.6</v>
      </c>
      <c r="C10" t="n">
        <v>30987016</v>
      </c>
      <c r="D10" t="n">
        <v>1481063</v>
      </c>
      <c r="E10" t="n">
        <v>4.78</v>
      </c>
      <c r="F10" t="n">
        <v>148176.4</v>
      </c>
      <c r="G10" t="n">
        <v>10</v>
      </c>
      <c r="H10" t="n">
        <v>1445.85</v>
      </c>
      <c r="I10" t="n">
        <v>69.11</v>
      </c>
    </row>
    <row r="11">
      <c r="A11">
        <f>HYPERLINK("https://www.tradingview.com/chart/?symbol=NSE:GNA","GNA")</f>
        <v/>
      </c>
      <c r="B11" t="n">
        <v>596.65</v>
      </c>
      <c r="C11" t="n">
        <v>3594624</v>
      </c>
      <c r="D11" t="n">
        <v>1147948</v>
      </c>
      <c r="E11" t="n">
        <v>31.94</v>
      </c>
      <c r="F11" t="n">
        <v>163487.8</v>
      </c>
      <c r="G11" t="n">
        <v>7.02</v>
      </c>
      <c r="H11" t="n">
        <v>214.47</v>
      </c>
      <c r="I11" t="n">
        <v>68.48999999999999</v>
      </c>
    </row>
    <row r="12">
      <c r="A12">
        <f>HYPERLINK("https://www.tradingview.com/chart/?symbol=NSE:AGIIL","AGIIL")</f>
        <v/>
      </c>
      <c r="B12" t="n">
        <v>268.8</v>
      </c>
      <c r="C12" t="n">
        <v>7001540</v>
      </c>
      <c r="D12" t="n">
        <v>2128340</v>
      </c>
      <c r="E12" t="n">
        <v>30.4</v>
      </c>
      <c r="F12" t="n">
        <v>303154</v>
      </c>
      <c r="G12" t="n">
        <v>7.02</v>
      </c>
      <c r="H12" t="n">
        <v>188.2</v>
      </c>
      <c r="I12" t="n">
        <v>57.21</v>
      </c>
    </row>
    <row r="13">
      <c r="A13">
        <f>HYPERLINK("https://www.tradingview.com/chart/?symbol=NSE:WESTLIFE","WESTLIFE")</f>
        <v/>
      </c>
      <c r="B13" t="n">
        <v>598.7</v>
      </c>
      <c r="C13" t="n">
        <v>991841</v>
      </c>
      <c r="D13" t="n">
        <v>922441</v>
      </c>
      <c r="E13" t="n">
        <v>93</v>
      </c>
      <c r="F13" t="n">
        <v>52513.76666666667</v>
      </c>
      <c r="G13" t="n">
        <v>17.57</v>
      </c>
      <c r="H13" t="n">
        <v>59.38</v>
      </c>
      <c r="I13" t="n">
        <v>55.23</v>
      </c>
    </row>
    <row r="14">
      <c r="A14">
        <f>HYPERLINK("https://www.tradingview.com/chart/?symbol=NSE:IIFLCAPS","IIFLCAPS")</f>
        <v/>
      </c>
      <c r="B14" t="n">
        <v>353.05</v>
      </c>
      <c r="C14" t="n">
        <v>2410124</v>
      </c>
      <c r="D14" t="n">
        <v>1532137</v>
      </c>
      <c r="E14" t="n">
        <v>63.57</v>
      </c>
      <c r="F14" t="n">
        <v>226993.5</v>
      </c>
      <c r="G14" t="n">
        <v>6.75</v>
      </c>
      <c r="H14" t="n">
        <v>85.09</v>
      </c>
      <c r="I14" t="n">
        <v>54.09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2026-09-23T21:44:34Z</dcterms:created>
  <dcterms:modified xsi:type="dcterms:W3CDTF">2026-09-23T21:44:34Z</dcterms:modified>
</cp:coreProperties>
</file>