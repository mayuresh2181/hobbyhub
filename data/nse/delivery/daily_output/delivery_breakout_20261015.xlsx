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HYPERLINK("https://www.tradingview.com/chart/?symbol=NSE:HDBFS","HDBFS")</f>
        <v/>
      </c>
      <c r="B2" t="n">
        <v>539.1</v>
      </c>
      <c r="C2" t="n">
        <v>6573951</v>
      </c>
      <c r="D2" t="n">
        <v>2854734</v>
      </c>
      <c r="E2" t="n">
        <v>43.42</v>
      </c>
      <c r="F2" t="n">
        <v>333674.5333333333</v>
      </c>
      <c r="G2" t="n">
        <v>8.56</v>
      </c>
      <c r="H2" t="n">
        <v>354.4</v>
      </c>
      <c r="I2" t="n">
        <v>153.9</v>
      </c>
    </row>
    <row r="3">
      <c r="A3">
        <f>HYPERLINK("https://www.tradingview.com/chart/?symbol=NSE:TATATECH","TATATECH")</f>
        <v/>
      </c>
      <c r="B3" t="n">
        <v>741.25</v>
      </c>
      <c r="C3" t="n">
        <v>7689988</v>
      </c>
      <c r="D3" t="n">
        <v>1671065</v>
      </c>
      <c r="E3" t="n">
        <v>21.73</v>
      </c>
      <c r="F3" t="n">
        <v>321421.8</v>
      </c>
      <c r="G3" t="n">
        <v>5.2</v>
      </c>
      <c r="H3" t="n">
        <v>570.02</v>
      </c>
      <c r="I3" t="n">
        <v>123.87</v>
      </c>
    </row>
    <row r="4">
      <c r="A4">
        <f>HYPERLINK("https://www.tradingview.com/chart/?symbol=NSE:CEMPRO","CEMPRO")</f>
        <v/>
      </c>
      <c r="B4" t="n">
        <v>1221.4</v>
      </c>
      <c r="C4" t="n">
        <v>2048835</v>
      </c>
      <c r="D4" t="n">
        <v>768259</v>
      </c>
      <c r="E4" t="n">
        <v>37.5</v>
      </c>
      <c r="F4" t="n">
        <v>145919.2666666667</v>
      </c>
      <c r="G4" t="n">
        <v>5.26</v>
      </c>
      <c r="H4" t="n">
        <v>250.24</v>
      </c>
      <c r="I4" t="n">
        <v>93.84</v>
      </c>
    </row>
    <row r="5">
      <c r="A5">
        <f>HYPERLINK("https://www.tradingview.com/chart/?symbol=NSE:BAJAJCON","BAJAJCON")</f>
        <v/>
      </c>
      <c r="B5" t="n">
        <v>468.5</v>
      </c>
      <c r="C5" t="n">
        <v>7409693</v>
      </c>
      <c r="D5" t="n">
        <v>1846903</v>
      </c>
      <c r="E5" t="n">
        <v>24.93</v>
      </c>
      <c r="F5" t="n">
        <v>326643.6666666667</v>
      </c>
      <c r="G5" t="n">
        <v>5.65</v>
      </c>
      <c r="H5" t="n">
        <v>347.14</v>
      </c>
      <c r="I5" t="n">
        <v>86.53</v>
      </c>
    </row>
    <row r="6">
      <c r="A6">
        <f>HYPERLINK("https://www.tradingview.com/chart/?symbol=NSE:GALLANTT","GALLANTT")</f>
        <v/>
      </c>
      <c r="B6" t="n">
        <v>628.15</v>
      </c>
      <c r="C6" t="n">
        <v>28405871</v>
      </c>
      <c r="D6" t="n">
        <v>1142540</v>
      </c>
      <c r="E6" t="n">
        <v>4.02</v>
      </c>
      <c r="F6" t="n">
        <v>85877.89999999999</v>
      </c>
      <c r="G6" t="n">
        <v>13.3</v>
      </c>
      <c r="H6" t="n">
        <v>1784.31</v>
      </c>
      <c r="I6" t="n">
        <v>71.77</v>
      </c>
    </row>
    <row r="7">
      <c r="A7">
        <f>HYPERLINK("https://www.tradingview.com/chart/?symbol=NSE:PSUBANKADD","PSUBANKADD")</f>
        <v/>
      </c>
      <c r="B7" t="n">
        <v>81.34999999999999</v>
      </c>
      <c r="C7" t="n">
        <v>7533313</v>
      </c>
      <c r="D7" t="n">
        <v>7413218</v>
      </c>
      <c r="E7" t="n">
        <v>98.41</v>
      </c>
      <c r="F7" t="n">
        <v>11584.76666666667</v>
      </c>
      <c r="G7" t="n">
        <v>639.91</v>
      </c>
      <c r="H7" t="n">
        <v>61.28</v>
      </c>
      <c r="I7" t="n">
        <v>60.31</v>
      </c>
    </row>
    <row r="8">
      <c r="A8">
        <f>HYPERLINK("https://www.tradingview.com/chart/?symbol=NSE:PVTBANIETF","PVTBANIETF")</f>
        <v/>
      </c>
      <c r="B8" t="n">
        <v>27.98</v>
      </c>
      <c r="C8" t="n">
        <v>20940689</v>
      </c>
      <c r="D8" t="n">
        <v>18888312</v>
      </c>
      <c r="E8" t="n">
        <v>90.2</v>
      </c>
      <c r="F8" t="n">
        <v>1457801.4</v>
      </c>
      <c r="G8" t="n">
        <v>12.96</v>
      </c>
      <c r="H8" t="n">
        <v>58.59</v>
      </c>
      <c r="I8" t="n">
        <v>52.85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2026-10-15T21:43:06Z</dcterms:created>
  <dcterms:modified xsi:type="dcterms:W3CDTF">2026-10-15T21:43:06Z</dcterms:modified>
</cp:coreProperties>
</file>