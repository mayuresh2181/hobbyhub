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RATIO</t>
        </is>
      </c>
    </row>
    <row r="2">
      <c r="A2">
        <f>HYPERLINK("https://www.tradingview.com/chart/?symbol=NSE:EIHOTEL", "EIHOTEL")</f>
        <v/>
      </c>
      <c r="B2" t="n">
        <v>1948238</v>
      </c>
      <c r="C2" t="n">
        <v>280861.5666666667</v>
      </c>
      <c r="D2" t="n">
        <v>6.94</v>
      </c>
    </row>
    <row r="3">
      <c r="A3">
        <f>HYPERLINK("https://www.tradingview.com/chart/?symbol=NSE:M&amp;MFIN", "M&amp;MFIN")</f>
        <v/>
      </c>
      <c r="B3" t="n">
        <v>3069239</v>
      </c>
      <c r="C3" t="n">
        <v>470290.5438596491</v>
      </c>
      <c r="D3" t="n">
        <v>6.53</v>
      </c>
    </row>
    <row r="4">
      <c r="A4">
        <f>HYPERLINK("https://www.tradingview.com/chart/?symbol=NSE:ADANIPOWER", "ADANIPOWER")</f>
        <v/>
      </c>
      <c r="B4" t="n">
        <v>83623385</v>
      </c>
      <c r="C4" t="n">
        <v>13180023.63333333</v>
      </c>
      <c r="D4" t="n">
        <v>6.34</v>
      </c>
    </row>
    <row r="5">
      <c r="A5">
        <f>HYPERLINK("https://www.tradingview.com/chart/?symbol=NSE:ZYDUSWELL", "ZYDUSWELL")</f>
        <v/>
      </c>
      <c r="B5" t="n">
        <v>1222641</v>
      </c>
      <c r="C5" t="n">
        <v>251316.8333333333</v>
      </c>
      <c r="D5" t="n">
        <v>4.86</v>
      </c>
    </row>
    <row r="6">
      <c r="A6">
        <f>HYPERLINK("https://www.tradingview.com/chart/?symbol=NSE:SPLPETRO", "SPLPETRO")</f>
        <v/>
      </c>
      <c r="B6" t="n">
        <v>227621</v>
      </c>
      <c r="C6" t="n">
        <v>56523.76666666667</v>
      </c>
      <c r="D6" t="n">
        <v>4.03</v>
      </c>
    </row>
    <row r="7">
      <c r="A7">
        <f>HYPERLINK("https://www.tradingview.com/chart/?symbol=NSE:COHANCE", "COHANCE")</f>
        <v/>
      </c>
      <c r="B7" t="n">
        <v>1348231</v>
      </c>
      <c r="C7" t="n">
        <v>357780.0666666667</v>
      </c>
      <c r="D7" t="n">
        <v>3.77</v>
      </c>
    </row>
    <row r="8">
      <c r="A8">
        <f>HYPERLINK("https://www.tradingview.com/chart/?symbol=NSE:JINDALSTEL", "JINDALSTEL")</f>
        <v/>
      </c>
      <c r="B8" t="n">
        <v>2633554</v>
      </c>
      <c r="C8" t="n">
        <v>713290.7333333333</v>
      </c>
      <c r="D8" t="n">
        <v>3.69</v>
      </c>
    </row>
    <row r="9">
      <c r="A9">
        <f>HYPERLINK("https://www.tradingview.com/chart/?symbol=NSE:CARBORUNIV", "CARBORUNIV")</f>
        <v/>
      </c>
      <c r="B9" t="n">
        <v>342618</v>
      </c>
      <c r="C9" t="n">
        <v>92980.73333333334</v>
      </c>
      <c r="D9" t="n">
        <v>3.68</v>
      </c>
    </row>
    <row r="10">
      <c r="A10">
        <f>HYPERLINK("https://www.tradingview.com/chart/?symbol=NSE:360ONE", "360ONE")</f>
        <v/>
      </c>
      <c r="B10" t="n">
        <v>1982782</v>
      </c>
      <c r="C10" t="n">
        <v>545044.6333333333</v>
      </c>
      <c r="D10" t="n">
        <v>3.64</v>
      </c>
    </row>
    <row r="11">
      <c r="A11">
        <f>HYPERLINK("https://www.tradingview.com/chart/?symbol=NSE:HYUNDAI", "HYUNDAI")</f>
        <v/>
      </c>
      <c r="B11" t="n">
        <v>1626711</v>
      </c>
      <c r="C11" t="n">
        <v>483983.7333333333</v>
      </c>
      <c r="D11" t="n">
        <v>3.36</v>
      </c>
    </row>
    <row r="12">
      <c r="A12">
        <f>HYPERLINK("https://www.tradingview.com/chart/?symbol=NSE:ADANIGREEN", "ADANIGREEN")</f>
        <v/>
      </c>
      <c r="B12" t="n">
        <v>5448316</v>
      </c>
      <c r="C12" t="n">
        <v>1635340.7</v>
      </c>
      <c r="D12" t="n">
        <v>3.33</v>
      </c>
    </row>
    <row r="13">
      <c r="A13">
        <f>HYPERLINK("https://www.tradingview.com/chart/?symbol=NSE:PRESTIGE", "PRESTIGE")</f>
        <v/>
      </c>
      <c r="B13" t="n">
        <v>1699123</v>
      </c>
      <c r="C13" t="n">
        <v>555239.9</v>
      </c>
      <c r="D13" t="n">
        <v>3.06</v>
      </c>
    </row>
    <row r="14">
      <c r="A14">
        <f>HYPERLINK("https://www.tradingview.com/chart/?symbol=NSE:TRENT", "TRENT")</f>
        <v/>
      </c>
      <c r="B14" t="n">
        <v>1505964</v>
      </c>
      <c r="C14" t="n">
        <v>501112.5</v>
      </c>
      <c r="D14" t="n">
        <v>3.01</v>
      </c>
    </row>
    <row r="15">
      <c r="A15">
        <f>HYPERLINK("https://www.tradingview.com/chart/?symbol=NSE:NEULANDLAB", "NEULANDLAB")</f>
        <v/>
      </c>
      <c r="B15" t="n">
        <v>35178</v>
      </c>
      <c r="C15" t="n">
        <v>11724.86666666667</v>
      </c>
      <c r="D1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2026-04-07T19:40:37Z</dcterms:created>
  <dcterms:modified xsi:type="dcterms:W3CDTF">2026-04-07T19:40:37Z</dcterms:modified>
</cp:coreProperties>
</file>