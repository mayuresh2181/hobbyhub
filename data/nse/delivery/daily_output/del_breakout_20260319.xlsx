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HYPERLINK("https://www.tradingview.com/chart/?symbol=NSE:SUNTV", "SUNTV")</f>
        <v/>
      </c>
      <c r="B2" t="n">
        <v>795336</v>
      </c>
      <c r="C2" t="n">
        <v>150307.2</v>
      </c>
      <c r="D2" t="n">
        <v>5.29</v>
      </c>
    </row>
    <row r="3">
      <c r="A3">
        <f>HYPERLINK("https://www.tradingview.com/chart/?symbol=NSE:HDFCBANK", "HDFCBANK")</f>
        <v/>
      </c>
      <c r="B3" t="n">
        <v>99628149</v>
      </c>
      <c r="C3" t="n">
        <v>21992957.46666666</v>
      </c>
      <c r="D3" t="n">
        <v>4.53</v>
      </c>
    </row>
    <row r="4">
      <c r="A4">
        <f>HYPERLINK("https://www.tradingview.com/chart/?symbol=NSE:BHARTIHEXA", "BHARTIHEXA")</f>
        <v/>
      </c>
      <c r="B4" t="n">
        <v>324009</v>
      </c>
      <c r="C4" t="n">
        <v>71800.83333333333</v>
      </c>
      <c r="D4" t="n">
        <v>4.51</v>
      </c>
    </row>
    <row r="5">
      <c r="A5">
        <f>HYPERLINK("https://www.tradingview.com/chart/?symbol=NSE:ATGL", "ATGL")</f>
        <v/>
      </c>
      <c r="B5" t="n">
        <v>2741702</v>
      </c>
      <c r="C5" t="n">
        <v>614651.0666666667</v>
      </c>
      <c r="D5" t="n">
        <v>4.46</v>
      </c>
    </row>
    <row r="6">
      <c r="A6">
        <f>HYPERLINK("https://www.tradingview.com/chart/?symbol=NSE:JPPOWER", "JPPOWER")</f>
        <v/>
      </c>
      <c r="B6" t="n">
        <v>65982682</v>
      </c>
      <c r="C6" t="n">
        <v>15015520.06666667</v>
      </c>
      <c r="D6" t="n">
        <v>4.39</v>
      </c>
    </row>
    <row r="7">
      <c r="A7">
        <f>HYPERLINK("https://www.tradingview.com/chart/?symbol=NSE:ACMESOLAR", "ACMESOLAR")</f>
        <v/>
      </c>
      <c r="B7" t="n">
        <v>1293739</v>
      </c>
      <c r="C7" t="n">
        <v>317125.9333333333</v>
      </c>
      <c r="D7" t="n">
        <v>4.08</v>
      </c>
    </row>
    <row r="8">
      <c r="A8">
        <f>HYPERLINK("https://www.tradingview.com/chart/?symbol=NSE:JBMA", "JBMA")</f>
        <v/>
      </c>
      <c r="B8" t="n">
        <v>657234</v>
      </c>
      <c r="C8" t="n">
        <v>168662.9</v>
      </c>
      <c r="D8" t="n">
        <v>3.9</v>
      </c>
    </row>
    <row r="9">
      <c r="A9">
        <f>HYPERLINK("https://www.tradingview.com/chart/?symbol=NSE:CHOLAHLDNG", "CHOLAHLDNG")</f>
        <v/>
      </c>
      <c r="B9" t="n">
        <v>350498</v>
      </c>
      <c r="C9" t="n">
        <v>101831.5</v>
      </c>
      <c r="D9" t="n">
        <v>3.44</v>
      </c>
    </row>
    <row r="10">
      <c r="A10">
        <f>HYPERLINK("https://www.tradingview.com/chart/?symbol=NSE:MSUMI", "MSUMI")</f>
        <v/>
      </c>
      <c r="B10" t="n">
        <v>10182553</v>
      </c>
      <c r="C10" t="n">
        <v>3194371.866666667</v>
      </c>
      <c r="D10" t="n">
        <v>3.19</v>
      </c>
    </row>
    <row r="11">
      <c r="A11">
        <f>HYPERLINK("https://www.tradingview.com/chart/?symbol=NSE:GUJGASLTD", "GUJGASLTD")</f>
        <v/>
      </c>
      <c r="B11" t="n">
        <v>854493</v>
      </c>
      <c r="C11" t="n">
        <v>273692.1666666667</v>
      </c>
      <c r="D11" t="n">
        <v>3.12</v>
      </c>
    </row>
    <row r="12">
      <c r="A12">
        <f>HYPERLINK("https://www.tradingview.com/chart/?symbol=NSE:ITI", "ITI")</f>
        <v/>
      </c>
      <c r="B12" t="n">
        <v>890290</v>
      </c>
      <c r="C12" t="n">
        <v>289754.2333333333</v>
      </c>
      <c r="D12" t="n">
        <v>3.07</v>
      </c>
    </row>
    <row r="13">
      <c r="A13">
        <f>HYPERLINK("https://www.tradingview.com/chart/?symbol=NSE:HINDPETRO", "HINDPETRO")</f>
        <v/>
      </c>
      <c r="B13" t="n">
        <v>10829449</v>
      </c>
      <c r="C13" t="n">
        <v>3532616</v>
      </c>
      <c r="D13" t="n">
        <v>3.07</v>
      </c>
    </row>
    <row r="14">
      <c r="A14">
        <f>HYPERLINK("https://www.tradingview.com/chart/?symbol=NSE:CRISIL", "CRISIL")</f>
        <v/>
      </c>
      <c r="B14" t="n">
        <v>71998</v>
      </c>
      <c r="C14" t="n">
        <v>23769.96666666667</v>
      </c>
      <c r="D14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2026-03-20T19:59:34Z</dcterms:created>
  <dcterms:modified xsi:type="dcterms:W3CDTF">2026-03-20T19:59:34Z</dcterms:modified>
</cp:coreProperties>
</file>