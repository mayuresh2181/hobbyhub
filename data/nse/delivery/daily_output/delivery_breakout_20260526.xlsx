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HYPERLINK("https://www.tradingview.com/chart/?symbol=NSE:PINELABS","PINELABS")</f>
        <v/>
      </c>
      <c r="B2" t="n">
        <v>23978788</v>
      </c>
      <c r="C2" t="n">
        <v>3115620.275862069</v>
      </c>
      <c r="D2" t="n">
        <v>7.7</v>
      </c>
    </row>
    <row r="3">
      <c r="A3">
        <f>HYPERLINK("https://www.tradingview.com/chart/?symbol=NSE:ATGL","ATGL")</f>
        <v/>
      </c>
      <c r="B3" t="n">
        <v>4272510</v>
      </c>
      <c r="C3" t="n">
        <v>740784.4137931034</v>
      </c>
      <c r="D3" t="n">
        <v>5.77</v>
      </c>
    </row>
    <row r="4">
      <c r="A4">
        <f>HYPERLINK("https://www.tradingview.com/chart/?symbol=NSE:JSWDULUX","JSWDULUX")</f>
        <v/>
      </c>
      <c r="B4" t="n">
        <v>65717</v>
      </c>
      <c r="C4" t="n">
        <v>12116.24137931034</v>
      </c>
      <c r="D4" t="n">
        <v>5.42</v>
      </c>
    </row>
    <row r="5">
      <c r="A5">
        <f>HYPERLINK("https://www.tradingview.com/chart/?symbol=NSE:CONCOR","CONCOR")</f>
        <v/>
      </c>
      <c r="B5" t="n">
        <v>3295805</v>
      </c>
      <c r="C5" t="n">
        <v>640768.6551724138</v>
      </c>
      <c r="D5" t="n">
        <v>5.14</v>
      </c>
    </row>
    <row r="6">
      <c r="A6">
        <f>HYPERLINK("https://www.tradingview.com/chart/?symbol=NSE:ABFRL","ABFRL")</f>
        <v/>
      </c>
      <c r="B6" t="n">
        <v>10054009</v>
      </c>
      <c r="C6" t="n">
        <v>2139233.862068966</v>
      </c>
      <c r="D6" t="n">
        <v>4.7</v>
      </c>
    </row>
    <row r="7">
      <c r="A7">
        <f>HYPERLINK("https://www.tradingview.com/chart/?symbol=NSE:TECHNOE","TECHNOE")</f>
        <v/>
      </c>
      <c r="B7" t="n">
        <v>743055</v>
      </c>
      <c r="C7" t="n">
        <v>158770.7586206897</v>
      </c>
      <c r="D7" t="n">
        <v>4.68</v>
      </c>
    </row>
    <row r="8">
      <c r="A8">
        <f>HYPERLINK("https://www.tradingview.com/chart/?symbol=NSE:BLUEJET","BLUEJET")</f>
        <v/>
      </c>
      <c r="B8" t="n">
        <v>770528</v>
      </c>
      <c r="C8" t="n">
        <v>183863.4482758621</v>
      </c>
      <c r="D8" t="n">
        <v>4.19</v>
      </c>
    </row>
    <row r="9">
      <c r="A9">
        <f>HYPERLINK("https://www.tradingview.com/chart/?symbol=NSE:CHAMBLFERT","CHAMBLFERT")</f>
        <v/>
      </c>
      <c r="B9" t="n">
        <v>1195594</v>
      </c>
      <c r="C9" t="n">
        <v>347488.3448275862</v>
      </c>
      <c r="D9" t="n">
        <v>3.44</v>
      </c>
    </row>
    <row r="10">
      <c r="A10">
        <f>HYPERLINK("https://www.tradingview.com/chart/?symbol=NSE:AIAENG","AIAENG")</f>
        <v/>
      </c>
      <c r="B10" t="n">
        <v>60545</v>
      </c>
      <c r="C10" t="n">
        <v>17605.62068965517</v>
      </c>
      <c r="D10" t="n">
        <v>3.44</v>
      </c>
    </row>
    <row r="11">
      <c r="A11">
        <f>HYPERLINK("https://www.tradingview.com/chart/?symbol=NSE:RVNL","RVNL")</f>
        <v/>
      </c>
      <c r="B11" t="n">
        <v>6814489</v>
      </c>
      <c r="C11" t="n">
        <v>2055875.413793104</v>
      </c>
      <c r="D11" t="n">
        <v>3.31</v>
      </c>
    </row>
    <row r="12">
      <c r="A12">
        <f>HYPERLINK("https://www.tradingview.com/chart/?symbol=NSE:TATACOMM","TATACOMM")</f>
        <v/>
      </c>
      <c r="B12" t="n">
        <v>1010585</v>
      </c>
      <c r="C12" t="n">
        <v>318258.0344827586</v>
      </c>
      <c r="D12" t="n">
        <v>3.18</v>
      </c>
    </row>
    <row r="13">
      <c r="A13">
        <f>HYPERLINK("https://www.tradingview.com/chart/?symbol=NSE:NBCC","NBCC")</f>
        <v/>
      </c>
      <c r="B13" t="n">
        <v>11172189</v>
      </c>
      <c r="C13" t="n">
        <v>3684349.827586207</v>
      </c>
      <c r="D13" t="n">
        <v>3.03</v>
      </c>
    </row>
    <row r="14">
      <c r="A14">
        <f>HYPERLINK("https://www.tradingview.com/chart/?symbol=NSE:TRAVELFOOD","TRAVELFOOD")</f>
        <v/>
      </c>
      <c r="B14" t="n">
        <v>85636</v>
      </c>
      <c r="C14" t="n">
        <v>28534.17241379311</v>
      </c>
      <c r="D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2026-05-27T03:38:12Z</dcterms:created>
  <dcterms:modified xsi:type="dcterms:W3CDTF">2026-05-27T03:38:12Z</dcterms:modified>
</cp:coreProperties>
</file>