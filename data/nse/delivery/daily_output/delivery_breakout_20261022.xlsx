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HYPERLINK("https://www.tradingview.com/chart/?symbol=NSE:KEI","KEI")</f>
        <v/>
      </c>
      <c r="B2" t="n">
        <v>3873</v>
      </c>
      <c r="C2" t="n">
        <v>3434360</v>
      </c>
      <c r="D2" t="n">
        <v>1024791</v>
      </c>
      <c r="E2" t="n">
        <v>29.84</v>
      </c>
      <c r="F2" t="n">
        <v>172988.3666666667</v>
      </c>
      <c r="G2" t="n">
        <v>5.92</v>
      </c>
      <c r="H2" t="n">
        <v>1330.13</v>
      </c>
      <c r="I2" t="n">
        <v>396.9</v>
      </c>
    </row>
    <row r="3">
      <c r="A3">
        <f>HYPERLINK("https://www.tradingview.com/chart/?symbol=NSE:SRF","SRF")</f>
        <v/>
      </c>
      <c r="B3" t="n">
        <v>2330.6</v>
      </c>
      <c r="C3" t="n">
        <v>1914945</v>
      </c>
      <c r="D3" t="n">
        <v>666041</v>
      </c>
      <c r="E3" t="n">
        <v>34.78</v>
      </c>
      <c r="F3" t="n">
        <v>115604.7333333333</v>
      </c>
      <c r="G3" t="n">
        <v>5.76</v>
      </c>
      <c r="H3" t="n">
        <v>446.3</v>
      </c>
      <c r="I3" t="n">
        <v>155.23</v>
      </c>
    </row>
    <row r="4">
      <c r="A4">
        <f>HYPERLINK("https://www.tradingview.com/chart/?symbol=NSE:IGIL","IGIL")</f>
        <v/>
      </c>
      <c r="B4" t="n">
        <v>353.2</v>
      </c>
      <c r="C4" t="n">
        <v>7582399</v>
      </c>
      <c r="D4" t="n">
        <v>3538660</v>
      </c>
      <c r="E4" t="n">
        <v>46.67</v>
      </c>
      <c r="F4" t="n">
        <v>277610.9666666667</v>
      </c>
      <c r="G4" t="n">
        <v>12.75</v>
      </c>
      <c r="H4" t="n">
        <v>267.81</v>
      </c>
      <c r="I4" t="n">
        <v>124.99</v>
      </c>
    </row>
    <row r="5">
      <c r="A5">
        <f>HYPERLINK("https://www.tradingview.com/chart/?symbol=NSE:SETFNIF50","SETFNIF50")</f>
        <v/>
      </c>
      <c r="B5" t="n">
        <v>244.44</v>
      </c>
      <c r="C5" t="n">
        <v>4942243</v>
      </c>
      <c r="D5" t="n">
        <v>4567918</v>
      </c>
      <c r="E5" t="n">
        <v>92.43000000000001</v>
      </c>
      <c r="F5" t="n">
        <v>712013.3333333334</v>
      </c>
      <c r="G5" t="n">
        <v>6.42</v>
      </c>
      <c r="H5" t="n">
        <v>120.81</v>
      </c>
      <c r="I5" t="n">
        <v>111.66</v>
      </c>
    </row>
    <row r="6">
      <c r="A6">
        <f>HYPERLINK("https://www.tradingview.com/chart/?symbol=NSE:NIFTYIETF","NIFTYIETF")</f>
        <v/>
      </c>
      <c r="B6" t="n">
        <v>257.65</v>
      </c>
      <c r="C6" t="n">
        <v>4609559</v>
      </c>
      <c r="D6" t="n">
        <v>4285279</v>
      </c>
      <c r="E6" t="n">
        <v>92.97</v>
      </c>
      <c r="F6" t="n">
        <v>446058.9666666667</v>
      </c>
      <c r="G6" t="n">
        <v>9.609999999999999</v>
      </c>
      <c r="H6" t="n">
        <v>118.77</v>
      </c>
      <c r="I6" t="n">
        <v>110.41</v>
      </c>
    </row>
    <row r="7">
      <c r="A7">
        <f>HYPERLINK("https://www.tradingview.com/chart/?symbol=NSE:GRWRHITECH","GRWRHITECH")</f>
        <v/>
      </c>
      <c r="B7" t="n">
        <v>6659.5</v>
      </c>
      <c r="C7" t="n">
        <v>556234</v>
      </c>
      <c r="D7" t="n">
        <v>120701</v>
      </c>
      <c r="E7" t="n">
        <v>21.7</v>
      </c>
      <c r="F7" t="n">
        <v>23819.4</v>
      </c>
      <c r="G7" t="n">
        <v>5.07</v>
      </c>
      <c r="H7" t="n">
        <v>370.42</v>
      </c>
      <c r="I7" t="n">
        <v>80.38</v>
      </c>
    </row>
    <row r="8">
      <c r="A8">
        <f>HYPERLINK("https://www.tradingview.com/chart/?symbol=NSE:INDIACEM","INDIACEM")</f>
        <v/>
      </c>
      <c r="B8" t="n">
        <v>331.75</v>
      </c>
      <c r="C8" t="n">
        <v>55810842</v>
      </c>
      <c r="D8" t="n">
        <v>1591320</v>
      </c>
      <c r="E8" t="n">
        <v>2.85</v>
      </c>
      <c r="F8" t="n">
        <v>159397.9666666667</v>
      </c>
      <c r="G8" t="n">
        <v>9.98</v>
      </c>
      <c r="H8" t="n">
        <v>1851.52</v>
      </c>
      <c r="I8" t="n">
        <v>52.79</v>
      </c>
    </row>
    <row r="9">
      <c r="A9">
        <f>HYPERLINK("https://www.tradingview.com/chart/?symbol=NSE:TTML","TTML")</f>
        <v/>
      </c>
      <c r="B9" t="n">
        <v>38.01</v>
      </c>
      <c r="C9" t="n">
        <v>209010072</v>
      </c>
      <c r="D9" t="n">
        <v>13635846</v>
      </c>
      <c r="E9" t="n">
        <v>6.52</v>
      </c>
      <c r="F9" t="n">
        <v>685155.2</v>
      </c>
      <c r="G9" t="n">
        <v>19.9</v>
      </c>
      <c r="H9" t="n">
        <v>794.45</v>
      </c>
      <c r="I9" t="n">
        <v>51.83</v>
      </c>
    </row>
    <row r="10">
      <c r="A10">
        <f>HYPERLINK("https://www.tradingview.com/chart/?symbol=NSE:EMUDHRA","EMUDHRA")</f>
        <v/>
      </c>
      <c r="B10" t="n">
        <v>345.6</v>
      </c>
      <c r="C10" t="n">
        <v>8617422</v>
      </c>
      <c r="D10" t="n">
        <v>1464294</v>
      </c>
      <c r="E10" t="n">
        <v>16.99</v>
      </c>
      <c r="F10" t="n">
        <v>263748.6</v>
      </c>
      <c r="G10" t="n">
        <v>5.55</v>
      </c>
      <c r="H10" t="n">
        <v>297.82</v>
      </c>
      <c r="I10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2026-10-22T21:53:51Z</dcterms:created>
  <dcterms:modified xsi:type="dcterms:W3CDTF">2026-10-22T21:53:51Z</dcterms:modified>
</cp:coreProperties>
</file>