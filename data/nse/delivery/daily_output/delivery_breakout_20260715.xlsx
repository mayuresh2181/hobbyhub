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HYPERLINK("https://www.tradingview.com/chart/?symbol=NSE:PATANJALI","PATANJALI")</f>
        <v/>
      </c>
      <c r="B2" t="n">
        <v>347.9</v>
      </c>
      <c r="C2" t="n">
        <v>81422871</v>
      </c>
      <c r="D2" t="n">
        <v>11701107</v>
      </c>
      <c r="E2" t="n">
        <v>14.37</v>
      </c>
      <c r="F2" t="n">
        <v>1179875.066666667</v>
      </c>
      <c r="G2" t="n">
        <v>9.92</v>
      </c>
      <c r="H2" t="n">
        <v>2832.7</v>
      </c>
      <c r="I2" t="n">
        <v>407.08</v>
      </c>
    </row>
    <row r="3">
      <c r="A3">
        <f>HYPERLINK("https://www.tradingview.com/chart/?symbol=NSE:LTTS","LTTS")</f>
        <v/>
      </c>
      <c r="B3" t="n">
        <v>3508.3</v>
      </c>
      <c r="C3" t="n">
        <v>2194120</v>
      </c>
      <c r="D3" t="n">
        <v>421763</v>
      </c>
      <c r="E3" t="n">
        <v>19.22</v>
      </c>
      <c r="F3" t="n">
        <v>53798.7</v>
      </c>
      <c r="G3" t="n">
        <v>7.84</v>
      </c>
      <c r="H3" t="n">
        <v>769.76</v>
      </c>
      <c r="I3" t="n">
        <v>147.97</v>
      </c>
    </row>
    <row r="4">
      <c r="A4">
        <f>HYPERLINK("https://www.tradingview.com/chart/?symbol=NSE:JUSTDIAL","JUSTDIAL")</f>
        <v/>
      </c>
      <c r="B4" t="n">
        <v>804.05</v>
      </c>
      <c r="C4" t="n">
        <v>23598076</v>
      </c>
      <c r="D4" t="n">
        <v>1710061</v>
      </c>
      <c r="E4" t="n">
        <v>7.25</v>
      </c>
      <c r="F4" t="n">
        <v>224367.8666666667</v>
      </c>
      <c r="G4" t="n">
        <v>7.62</v>
      </c>
      <c r="H4" t="n">
        <v>1897.4</v>
      </c>
      <c r="I4" t="n">
        <v>137.5</v>
      </c>
    </row>
    <row r="5">
      <c r="A5">
        <f>HYPERLINK("https://www.tradingview.com/chart/?symbol=NSE:NUVOCO","NUVOCO")</f>
        <v/>
      </c>
      <c r="B5" t="n">
        <v>377.25</v>
      </c>
      <c r="C5" t="n">
        <v>50549487</v>
      </c>
      <c r="D5" t="n">
        <v>2833581</v>
      </c>
      <c r="E5" t="n">
        <v>5.61</v>
      </c>
      <c r="F5" t="n">
        <v>193481</v>
      </c>
      <c r="G5" t="n">
        <v>14.65</v>
      </c>
      <c r="H5" t="n">
        <v>1906.98</v>
      </c>
      <c r="I5" t="n">
        <v>106.9</v>
      </c>
    </row>
    <row r="6">
      <c r="A6">
        <f>HYPERLINK("https://www.tradingview.com/chart/?symbol=NSE:RKFORGE","RKFORGE")</f>
        <v/>
      </c>
      <c r="B6" t="n">
        <v>563.5</v>
      </c>
      <c r="C6" t="n">
        <v>2738250</v>
      </c>
      <c r="D6" t="n">
        <v>1802196</v>
      </c>
      <c r="E6" t="n">
        <v>65.81999999999999</v>
      </c>
      <c r="F6" t="n">
        <v>195971.5666666667</v>
      </c>
      <c r="G6" t="n">
        <v>9.199999999999999</v>
      </c>
      <c r="H6" t="n">
        <v>154.3</v>
      </c>
      <c r="I6" t="n">
        <v>101.55</v>
      </c>
    </row>
    <row r="7">
      <c r="A7">
        <f>HYPERLINK("https://www.tradingview.com/chart/?symbol=NSE:LANDMARK","LANDMARK")</f>
        <v/>
      </c>
      <c r="B7" t="n">
        <v>514.25</v>
      </c>
      <c r="C7" t="n">
        <v>30089896</v>
      </c>
      <c r="D7" t="n">
        <v>1763876</v>
      </c>
      <c r="E7" t="n">
        <v>5.86</v>
      </c>
      <c r="F7" t="n">
        <v>104111.6666666667</v>
      </c>
      <c r="G7" t="n">
        <v>16.94</v>
      </c>
      <c r="H7" t="n">
        <v>1547.37</v>
      </c>
      <c r="I7" t="n">
        <v>90.70999999999999</v>
      </c>
    </row>
    <row r="8">
      <c r="A8">
        <f>HYPERLINK("https://www.tradingview.com/chart/?symbol=NSE:SIGNATURE","SIGNATURE")</f>
        <v/>
      </c>
      <c r="B8" t="n">
        <v>841.7</v>
      </c>
      <c r="C8" t="n">
        <v>6455817</v>
      </c>
      <c r="D8" t="n">
        <v>1049153</v>
      </c>
      <c r="E8" t="n">
        <v>16.25</v>
      </c>
      <c r="F8" t="n">
        <v>63978.53333333333</v>
      </c>
      <c r="G8" t="n">
        <v>16.4</v>
      </c>
      <c r="H8" t="n">
        <v>543.39</v>
      </c>
      <c r="I8" t="n">
        <v>88.31</v>
      </c>
    </row>
    <row r="9">
      <c r="A9">
        <f>HYPERLINK("https://www.tradingview.com/chart/?symbol=NSE:BECTORFOOD","BECTORFOOD")</f>
        <v/>
      </c>
      <c r="B9" t="n">
        <v>168.97</v>
      </c>
      <c r="C9" t="n">
        <v>6039700</v>
      </c>
      <c r="D9" t="n">
        <v>4684119</v>
      </c>
      <c r="E9" t="n">
        <v>77.56</v>
      </c>
      <c r="F9" t="n">
        <v>489332.4333333333</v>
      </c>
      <c r="G9" t="n">
        <v>9.57</v>
      </c>
      <c r="H9" t="n">
        <v>102.05</v>
      </c>
      <c r="I9" t="n">
        <v>79.15000000000001</v>
      </c>
    </row>
    <row r="10">
      <c r="A10">
        <f>HYPERLINK("https://www.tradingview.com/chart/?symbol=NSE:ACI","ACI")</f>
        <v/>
      </c>
      <c r="B10" t="n">
        <v>543.8</v>
      </c>
      <c r="C10" t="n">
        <v>1502876</v>
      </c>
      <c r="D10" t="n">
        <v>1309290</v>
      </c>
      <c r="E10" t="n">
        <v>87.12</v>
      </c>
      <c r="F10" t="n">
        <v>107840.3</v>
      </c>
      <c r="G10" t="n">
        <v>12.14</v>
      </c>
      <c r="H10" t="n">
        <v>81.73</v>
      </c>
      <c r="I10" t="n">
        <v>71.2</v>
      </c>
    </row>
    <row r="11">
      <c r="A11">
        <f>HYPERLINK("https://www.tradingview.com/chart/?symbol=NSE:FEDFINA","FEDFINA")</f>
        <v/>
      </c>
      <c r="B11" t="n">
        <v>163.55</v>
      </c>
      <c r="C11" t="n">
        <v>20106668</v>
      </c>
      <c r="D11" t="n">
        <v>4348612</v>
      </c>
      <c r="E11" t="n">
        <v>21.63</v>
      </c>
      <c r="F11" t="n">
        <v>861736.1</v>
      </c>
      <c r="G11" t="n">
        <v>5.05</v>
      </c>
      <c r="H11" t="n">
        <v>328.84</v>
      </c>
      <c r="I11" t="n">
        <v>71.12</v>
      </c>
    </row>
    <row r="12">
      <c r="A12">
        <f>HYPERLINK("https://www.tradingview.com/chart/?symbol=NSE:HCG","HCG")</f>
        <v/>
      </c>
      <c r="B12" t="n">
        <v>646.85</v>
      </c>
      <c r="C12" t="n">
        <v>1272119</v>
      </c>
      <c r="D12" t="n">
        <v>1025551</v>
      </c>
      <c r="E12" t="n">
        <v>80.62</v>
      </c>
      <c r="F12" t="n">
        <v>109878.0333333333</v>
      </c>
      <c r="G12" t="n">
        <v>9.33</v>
      </c>
      <c r="H12" t="n">
        <v>82.29000000000001</v>
      </c>
      <c r="I12" t="n">
        <v>66.34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2026-07-15T15:16:51Z</dcterms:created>
  <dcterms:modified xsi:type="dcterms:W3CDTF">2026-07-15T15:16:51Z</dcterms:modified>
</cp:coreProperties>
</file>