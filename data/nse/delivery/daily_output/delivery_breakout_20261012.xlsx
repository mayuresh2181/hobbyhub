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HYPERLINK("https://www.tradingview.com/chart/?symbol=NSE:ADANIPORTS","ADANIPORTS")</f>
        <v/>
      </c>
      <c r="B2" t="n">
        <v>1754</v>
      </c>
      <c r="C2" t="n">
        <v>10901705</v>
      </c>
      <c r="D2" t="n">
        <v>10171991</v>
      </c>
      <c r="E2" t="n">
        <v>93.31</v>
      </c>
      <c r="F2" t="n">
        <v>1495705.724137931</v>
      </c>
      <c r="G2" t="n">
        <v>6.8</v>
      </c>
      <c r="H2" t="n">
        <v>1912.16</v>
      </c>
      <c r="I2" t="n">
        <v>1784.17</v>
      </c>
    </row>
    <row r="3">
      <c r="A3">
        <f>HYPERLINK("https://www.tradingview.com/chart/?symbol=NSE:POONAWALLA","POONAWALLA")</f>
        <v/>
      </c>
      <c r="B3" t="n">
        <v>449.1</v>
      </c>
      <c r="C3" t="n">
        <v>28015919</v>
      </c>
      <c r="D3" t="n">
        <v>4582246</v>
      </c>
      <c r="E3" t="n">
        <v>16.36</v>
      </c>
      <c r="F3" t="n">
        <v>569708.6206896552</v>
      </c>
      <c r="G3" t="n">
        <v>8.039999999999999</v>
      </c>
      <c r="H3" t="n">
        <v>1258.19</v>
      </c>
      <c r="I3" t="n">
        <v>205.79</v>
      </c>
    </row>
    <row r="4">
      <c r="A4">
        <f>HYPERLINK("https://www.tradingview.com/chart/?symbol=NSE:UBL","UBL")</f>
        <v/>
      </c>
      <c r="B4" t="n">
        <v>1164.8</v>
      </c>
      <c r="C4" t="n">
        <v>1611295</v>
      </c>
      <c r="D4" t="n">
        <v>1512533</v>
      </c>
      <c r="E4" t="n">
        <v>93.87</v>
      </c>
      <c r="F4" t="n">
        <v>94319.93103448275</v>
      </c>
      <c r="G4" t="n">
        <v>16.04</v>
      </c>
      <c r="H4" t="n">
        <v>187.68</v>
      </c>
      <c r="I4" t="n">
        <v>176.18</v>
      </c>
    </row>
    <row r="5">
      <c r="A5">
        <f>HYPERLINK("https://www.tradingview.com/chart/?symbol=NSE:JUBLPHARMA","JUBLPHARMA")</f>
        <v/>
      </c>
      <c r="B5" t="n">
        <v>950.9</v>
      </c>
      <c r="C5" t="n">
        <v>1419970</v>
      </c>
      <c r="D5" t="n">
        <v>837010</v>
      </c>
      <c r="E5" t="n">
        <v>58.95</v>
      </c>
      <c r="F5" t="n">
        <v>143941.8275862069</v>
      </c>
      <c r="G5" t="n">
        <v>5.81</v>
      </c>
      <c r="H5" t="n">
        <v>135.02</v>
      </c>
      <c r="I5" t="n">
        <v>79.59</v>
      </c>
    </row>
    <row r="6">
      <c r="A6">
        <f>HYPERLINK("https://www.tradingview.com/chart/?symbol=NSE:GOODLUCK","GOODLUCK")</f>
        <v/>
      </c>
      <c r="B6" t="n">
        <v>566.35</v>
      </c>
      <c r="C6" t="n">
        <v>9109290</v>
      </c>
      <c r="D6" t="n">
        <v>1300131</v>
      </c>
      <c r="E6" t="n">
        <v>14.27</v>
      </c>
      <c r="F6" t="n">
        <v>253894.5862068966</v>
      </c>
      <c r="G6" t="n">
        <v>5.12</v>
      </c>
      <c r="H6" t="n">
        <v>515.9</v>
      </c>
      <c r="I6" t="n">
        <v>73.63</v>
      </c>
    </row>
    <row r="7">
      <c r="A7">
        <f>HYPERLINK("https://www.tradingview.com/chart/?symbol=NSE:GALLANTT","GALLANTT")</f>
        <v/>
      </c>
      <c r="B7" t="n">
        <v>595.6</v>
      </c>
      <c r="C7" t="n">
        <v>23263167</v>
      </c>
      <c r="D7" t="n">
        <v>1198547</v>
      </c>
      <c r="E7" t="n">
        <v>5.15</v>
      </c>
      <c r="F7" t="n">
        <v>33211.51724137931</v>
      </c>
      <c r="G7" t="n">
        <v>36.09</v>
      </c>
      <c r="H7" t="n">
        <v>1385.55</v>
      </c>
      <c r="I7" t="n">
        <v>71.39</v>
      </c>
    </row>
    <row r="8">
      <c r="A8">
        <f>HYPERLINK("https://www.tradingview.com/chart/?symbol=NSE:WSTCSTPAPR","WSTCSTPAPR")</f>
        <v/>
      </c>
      <c r="B8" t="n">
        <v>873.15</v>
      </c>
      <c r="C8" t="n">
        <v>4551864</v>
      </c>
      <c r="D8" t="n">
        <v>792689</v>
      </c>
      <c r="E8" t="n">
        <v>17.41</v>
      </c>
      <c r="F8" t="n">
        <v>126567.9310344828</v>
      </c>
      <c r="G8" t="n">
        <v>6.26</v>
      </c>
      <c r="H8" t="n">
        <v>397.45</v>
      </c>
      <c r="I8" t="n">
        <v>69.20999999999999</v>
      </c>
    </row>
    <row r="9">
      <c r="A9">
        <f>HYPERLINK("https://www.tradingview.com/chart/?symbol=NSE:SOBHA","SOBHA")</f>
        <v/>
      </c>
      <c r="B9" t="n">
        <v>1156.4</v>
      </c>
      <c r="C9" t="n">
        <v>693071</v>
      </c>
      <c r="D9" t="n">
        <v>534288</v>
      </c>
      <c r="E9" t="n">
        <v>77.09</v>
      </c>
      <c r="F9" t="n">
        <v>49555.86206896551</v>
      </c>
      <c r="G9" t="n">
        <v>10.78</v>
      </c>
      <c r="H9" t="n">
        <v>80.15000000000001</v>
      </c>
      <c r="I9" t="n">
        <v>61.79</v>
      </c>
    </row>
    <row r="10">
      <c r="A10">
        <f>HYPERLINK("https://www.tradingview.com/chart/?symbol=NSE:RELIGARE","RELIGARE")</f>
        <v/>
      </c>
      <c r="B10" t="n">
        <v>221.78</v>
      </c>
      <c r="C10" t="n">
        <v>6484252</v>
      </c>
      <c r="D10" t="n">
        <v>2458379</v>
      </c>
      <c r="E10" t="n">
        <v>37.91</v>
      </c>
      <c r="F10" t="n">
        <v>490966.8620689655</v>
      </c>
      <c r="G10" t="n">
        <v>5.01</v>
      </c>
      <c r="H10" t="n">
        <v>143.81</v>
      </c>
      <c r="I10" t="n">
        <v>54.52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2026-10-13T00:57:09Z</dcterms:created>
  <dcterms:modified xsi:type="dcterms:W3CDTF">2026-10-13T00:57:09Z</dcterms:modified>
</cp:coreProperties>
</file>