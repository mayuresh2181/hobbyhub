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HYPERLINK("https://www.tradingview.com/chart/?symbol=NSE:ENRIN","ENRIN")</f>
        <v/>
      </c>
      <c r="B2" t="n">
        <v>3648.8</v>
      </c>
      <c r="C2" t="n">
        <v>7973925</v>
      </c>
      <c r="D2" t="n">
        <v>1105601</v>
      </c>
      <c r="E2" t="n">
        <v>13.87</v>
      </c>
      <c r="F2" t="n">
        <v>206216.6</v>
      </c>
      <c r="G2" t="n">
        <v>5.36</v>
      </c>
      <c r="H2" t="n">
        <v>2909.53</v>
      </c>
      <c r="I2" t="n">
        <v>403.41</v>
      </c>
    </row>
    <row r="3">
      <c r="A3">
        <f>HYPERLINK("https://www.tradingview.com/chart/?symbol=NSE:TATATECH","TATATECH")</f>
        <v/>
      </c>
      <c r="B3" t="n">
        <v>872.8</v>
      </c>
      <c r="C3" t="n">
        <v>16058460</v>
      </c>
      <c r="D3" t="n">
        <v>3219605</v>
      </c>
      <c r="E3" t="n">
        <v>20.05</v>
      </c>
      <c r="F3" t="n">
        <v>416974.8333333333</v>
      </c>
      <c r="G3" t="n">
        <v>7.72</v>
      </c>
      <c r="H3" t="n">
        <v>1401.58</v>
      </c>
      <c r="I3" t="n">
        <v>281.01</v>
      </c>
    </row>
    <row r="4">
      <c r="A4">
        <f>HYPERLINK("https://www.tradingview.com/chart/?symbol=NSE:CROMPTON","CROMPTON")</f>
        <v/>
      </c>
      <c r="B4" t="n">
        <v>249.95</v>
      </c>
      <c r="C4" t="n">
        <v>22616837</v>
      </c>
      <c r="D4" t="n">
        <v>8519067</v>
      </c>
      <c r="E4" t="n">
        <v>37.67</v>
      </c>
      <c r="F4" t="n">
        <v>1345151.066666667</v>
      </c>
      <c r="G4" t="n">
        <v>6.33</v>
      </c>
      <c r="H4" t="n">
        <v>565.3099999999999</v>
      </c>
      <c r="I4" t="n">
        <v>212.93</v>
      </c>
    </row>
    <row r="5">
      <c r="A5">
        <f>HYPERLINK("https://www.tradingview.com/chart/?symbol=NSE:EMIL","EMIL")</f>
        <v/>
      </c>
      <c r="B5" t="n">
        <v>165.83</v>
      </c>
      <c r="C5" t="n">
        <v>51355051</v>
      </c>
      <c r="D5" t="n">
        <v>12659018</v>
      </c>
      <c r="E5" t="n">
        <v>24.65</v>
      </c>
      <c r="F5" t="n">
        <v>1222919.966666667</v>
      </c>
      <c r="G5" t="n">
        <v>10.35</v>
      </c>
      <c r="H5" t="n">
        <v>851.62</v>
      </c>
      <c r="I5" t="n">
        <v>209.92</v>
      </c>
    </row>
    <row r="6">
      <c r="A6">
        <f>HYPERLINK("https://www.tradingview.com/chart/?symbol=NSE:JYOTICNC","JYOTICNC")</f>
        <v/>
      </c>
      <c r="B6" t="n">
        <v>784.3</v>
      </c>
      <c r="C6" t="n">
        <v>6950507</v>
      </c>
      <c r="D6" t="n">
        <v>2106406</v>
      </c>
      <c r="E6" t="n">
        <v>30.31</v>
      </c>
      <c r="F6" t="n">
        <v>345107.5</v>
      </c>
      <c r="G6" t="n">
        <v>6.1</v>
      </c>
      <c r="H6" t="n">
        <v>545.13</v>
      </c>
      <c r="I6" t="n">
        <v>165.21</v>
      </c>
    </row>
    <row r="7">
      <c r="A7">
        <f>HYPERLINK("https://www.tradingview.com/chart/?symbol=NSE:PTC","PTC")</f>
        <v/>
      </c>
      <c r="B7" t="n">
        <v>203.3</v>
      </c>
      <c r="C7" t="n">
        <v>12883295</v>
      </c>
      <c r="D7" t="n">
        <v>7377849</v>
      </c>
      <c r="E7" t="n">
        <v>57.27</v>
      </c>
      <c r="F7" t="n">
        <v>805487.5</v>
      </c>
      <c r="G7" t="n">
        <v>9.16</v>
      </c>
      <c r="H7" t="n">
        <v>261.92</v>
      </c>
      <c r="I7" t="n">
        <v>149.99</v>
      </c>
    </row>
    <row r="8">
      <c r="A8">
        <f>HYPERLINK("https://www.tradingview.com/chart/?symbol=NSE:SBCL","SBCL")</f>
        <v/>
      </c>
      <c r="B8" t="n">
        <v>920.9</v>
      </c>
      <c r="C8" t="n">
        <v>6015282</v>
      </c>
      <c r="D8" t="n">
        <v>1151705</v>
      </c>
      <c r="E8" t="n">
        <v>19.15</v>
      </c>
      <c r="F8" t="n">
        <v>189286.1666666667</v>
      </c>
      <c r="G8" t="n">
        <v>6.08</v>
      </c>
      <c r="H8" t="n">
        <v>553.95</v>
      </c>
      <c r="I8" t="n">
        <v>106.06</v>
      </c>
    </row>
    <row r="9">
      <c r="A9">
        <f>HYPERLINK("https://www.tradingview.com/chart/?symbol=NSE:SBIMIDMOM","SBIMIDMOM")</f>
        <v/>
      </c>
      <c r="B9" t="n">
        <v>63.91</v>
      </c>
      <c r="C9" t="n">
        <v>16442212</v>
      </c>
      <c r="D9" t="n">
        <v>16433630</v>
      </c>
      <c r="E9" t="n">
        <v>99.95</v>
      </c>
      <c r="F9" t="n">
        <v>16422.9</v>
      </c>
      <c r="G9" t="n">
        <v>1000.65</v>
      </c>
      <c r="H9" t="n">
        <v>105.08</v>
      </c>
      <c r="I9" t="n">
        <v>105.03</v>
      </c>
    </row>
    <row r="10">
      <c r="A10">
        <f>HYPERLINK("https://www.tradingview.com/chart/?symbol=NSE:SAPPHIRE","SAPPHIRE")</f>
        <v/>
      </c>
      <c r="B10" t="n">
        <v>224.22</v>
      </c>
      <c r="C10" t="n">
        <v>18224172</v>
      </c>
      <c r="D10" t="n">
        <v>3961845</v>
      </c>
      <c r="E10" t="n">
        <v>21.74</v>
      </c>
      <c r="F10" t="n">
        <v>670686.6</v>
      </c>
      <c r="G10" t="n">
        <v>5.91</v>
      </c>
      <c r="H10" t="n">
        <v>408.62</v>
      </c>
      <c r="I10" t="n">
        <v>88.83</v>
      </c>
    </row>
    <row r="11">
      <c r="A11">
        <f>HYPERLINK("https://www.tradingview.com/chart/?symbol=NSE:VARROC","VARROC")</f>
        <v/>
      </c>
      <c r="B11" t="n">
        <v>811.2</v>
      </c>
      <c r="C11" t="n">
        <v>15190210</v>
      </c>
      <c r="D11" t="n">
        <v>881093</v>
      </c>
      <c r="E11" t="n">
        <v>5.8</v>
      </c>
      <c r="F11" t="n">
        <v>92565.06666666667</v>
      </c>
      <c r="G11" t="n">
        <v>9.52</v>
      </c>
      <c r="H11" t="n">
        <v>1232.23</v>
      </c>
      <c r="I11" t="n">
        <v>71.47</v>
      </c>
    </row>
    <row r="12">
      <c r="A12">
        <f>HYPERLINK("https://www.tradingview.com/chart/?symbol=NSE:RELIGARE","RELIGARE")</f>
        <v/>
      </c>
      <c r="B12" t="n">
        <v>232.35</v>
      </c>
      <c r="C12" t="n">
        <v>6187400</v>
      </c>
      <c r="D12" t="n">
        <v>2989851</v>
      </c>
      <c r="E12" t="n">
        <v>48.32</v>
      </c>
      <c r="F12" t="n">
        <v>378313.5</v>
      </c>
      <c r="G12" t="n">
        <v>7.9</v>
      </c>
      <c r="H12" t="n">
        <v>143.76</v>
      </c>
      <c r="I12" t="n">
        <v>69.47</v>
      </c>
    </row>
    <row r="13">
      <c r="A13">
        <f>HYPERLINK("https://www.tradingview.com/chart/?symbol=NSE:COHANCE","COHANCE")</f>
        <v/>
      </c>
      <c r="B13" t="n">
        <v>445.75</v>
      </c>
      <c r="C13" t="n">
        <v>1985052</v>
      </c>
      <c r="D13" t="n">
        <v>1505136</v>
      </c>
      <c r="E13" t="n">
        <v>75.81999999999999</v>
      </c>
      <c r="F13" t="n">
        <v>260976.4666666667</v>
      </c>
      <c r="G13" t="n">
        <v>5.77</v>
      </c>
      <c r="H13" t="n">
        <v>88.48</v>
      </c>
      <c r="I13" t="n">
        <v>67.09</v>
      </c>
    </row>
    <row r="14">
      <c r="A14">
        <f>HYPERLINK("https://www.tradingview.com/chart/?symbol=NSE:PGIL","PGIL")</f>
        <v/>
      </c>
      <c r="B14" t="n">
        <v>2464.1</v>
      </c>
      <c r="C14" t="n">
        <v>2215967</v>
      </c>
      <c r="D14" t="n">
        <v>230341</v>
      </c>
      <c r="E14" t="n">
        <v>10.39</v>
      </c>
      <c r="F14" t="n">
        <v>40529.06666666667</v>
      </c>
      <c r="G14" t="n">
        <v>5.68</v>
      </c>
      <c r="H14" t="n">
        <v>546.04</v>
      </c>
      <c r="I14" t="n">
        <v>56.76</v>
      </c>
    </row>
    <row r="15">
      <c r="A15">
        <f>HYPERLINK("https://www.tradingview.com/chart/?symbol=NSE:SILVER1","SILVER1")</f>
        <v/>
      </c>
      <c r="B15" t="n">
        <v>22.38</v>
      </c>
      <c r="C15" t="n">
        <v>31926569</v>
      </c>
      <c r="D15" t="n">
        <v>25086744</v>
      </c>
      <c r="E15" t="n">
        <v>78.58</v>
      </c>
      <c r="F15" t="n">
        <v>1920096.766666667</v>
      </c>
      <c r="G15" t="n">
        <v>13.07</v>
      </c>
      <c r="H15" t="n">
        <v>71.45</v>
      </c>
      <c r="I15" t="n">
        <v>56.14</v>
      </c>
    </row>
    <row r="16">
      <c r="A16">
        <f>HYPERLINK("https://www.tradingview.com/chart/?symbol=NSE:IXIGO","IXIGO")</f>
        <v/>
      </c>
      <c r="B16" t="n">
        <v>176.25</v>
      </c>
      <c r="C16" t="n">
        <v>8410058</v>
      </c>
      <c r="D16" t="n">
        <v>2908791</v>
      </c>
      <c r="E16" t="n">
        <v>34.59</v>
      </c>
      <c r="F16" t="n">
        <v>533199.3333333334</v>
      </c>
      <c r="G16" t="n">
        <v>5.46</v>
      </c>
      <c r="H16" t="n">
        <v>148.23</v>
      </c>
      <c r="I16" t="n">
        <v>51.27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2026-08-08T19:10:47Z</dcterms:created>
  <dcterms:modified xsi:type="dcterms:W3CDTF">2026-08-08T19:10:47Z</dcterms:modified>
</cp:coreProperties>
</file>