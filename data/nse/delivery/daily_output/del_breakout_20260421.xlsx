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HYPERLINK("https://www.tradingview.com/chart/?symbol=NSE:ONESOURCE", "ONESOURCE")</f>
        <v/>
      </c>
      <c r="B2" t="n">
        <v>3467901</v>
      </c>
      <c r="C2" t="n">
        <v>349105.2666666667</v>
      </c>
      <c r="D2" t="n">
        <v>9.93</v>
      </c>
    </row>
    <row r="3">
      <c r="A3">
        <f>HYPERLINK("https://www.tradingview.com/chart/?symbol=NSE:RKFORGE", "RKFORGE")</f>
        <v/>
      </c>
      <c r="B3" t="n">
        <v>1751521</v>
      </c>
      <c r="C3" t="n">
        <v>260832.7</v>
      </c>
      <c r="D3" t="n">
        <v>6.72</v>
      </c>
    </row>
    <row r="4">
      <c r="A4">
        <f>HYPERLINK("https://www.tradingview.com/chart/?symbol=NSE:BIKAJI", "BIKAJI")</f>
        <v/>
      </c>
      <c r="B4" t="n">
        <v>470059</v>
      </c>
      <c r="C4" t="n">
        <v>84945.36666666667</v>
      </c>
      <c r="D4" t="n">
        <v>5.53</v>
      </c>
    </row>
    <row r="5">
      <c r="A5">
        <f>HYPERLINK("https://www.tradingview.com/chart/?symbol=NSE:PNBHOUSING", "PNBHOUSING")</f>
        <v/>
      </c>
      <c r="B5" t="n">
        <v>2960511</v>
      </c>
      <c r="C5" t="n">
        <v>595379.2333333333</v>
      </c>
      <c r="D5" t="n">
        <v>4.97</v>
      </c>
    </row>
    <row r="6">
      <c r="A6">
        <f>HYPERLINK("https://www.tradingview.com/chart/?symbol=NSE:CANHLIFE", "CANHLIFE")</f>
        <v/>
      </c>
      <c r="B6" t="n">
        <v>2667853</v>
      </c>
      <c r="C6" t="n">
        <v>561476.2333333333</v>
      </c>
      <c r="D6" t="n">
        <v>4.75</v>
      </c>
    </row>
    <row r="7">
      <c r="A7">
        <f>HYPERLINK("https://www.tradingview.com/chart/?symbol=NSE:MAHABANK", "MAHABANK")</f>
        <v/>
      </c>
      <c r="B7" t="n">
        <v>37691976</v>
      </c>
      <c r="C7" t="n">
        <v>8046220.032258064</v>
      </c>
      <c r="D7" t="n">
        <v>4.68</v>
      </c>
    </row>
    <row r="8">
      <c r="A8">
        <f>HYPERLINK("https://www.tradingview.com/chart/?symbol=NSE:LEMONTREE", "LEMONTREE")</f>
        <v/>
      </c>
      <c r="B8" t="n">
        <v>10221387</v>
      </c>
      <c r="C8" t="n">
        <v>2345934.866666667</v>
      </c>
      <c r="D8" t="n">
        <v>4.36</v>
      </c>
    </row>
    <row r="9">
      <c r="A9">
        <f>HYPERLINK("https://www.tradingview.com/chart/?symbol=NSE:IGL", "IGL")</f>
        <v/>
      </c>
      <c r="B9" t="n">
        <v>11142665</v>
      </c>
      <c r="C9" t="n">
        <v>2613413.233333333</v>
      </c>
      <c r="D9" t="n">
        <v>4.26</v>
      </c>
    </row>
    <row r="10">
      <c r="A10">
        <f>HYPERLINK("https://www.tradingview.com/chart/?symbol=NSE:GROWW", "GROWW")</f>
        <v/>
      </c>
      <c r="B10" t="n">
        <v>42979222</v>
      </c>
      <c r="C10" t="n">
        <v>10729620</v>
      </c>
      <c r="D10" t="n">
        <v>4.01</v>
      </c>
    </row>
    <row r="11">
      <c r="A11">
        <f>HYPERLINK("https://www.tradingview.com/chart/?symbol=NSE:ERIS", "ERIS")</f>
        <v/>
      </c>
      <c r="B11" t="n">
        <v>228610</v>
      </c>
      <c r="C11" t="n">
        <v>58166.23333333333</v>
      </c>
      <c r="D11" t="n">
        <v>3.93</v>
      </c>
    </row>
    <row r="12">
      <c r="A12">
        <f>HYPERLINK("https://www.tradingview.com/chart/?symbol=NSE:LALPATHLAB", "LALPATHLAB")</f>
        <v/>
      </c>
      <c r="B12" t="n">
        <v>810575</v>
      </c>
      <c r="C12" t="n">
        <v>209752.1333333333</v>
      </c>
      <c r="D12" t="n">
        <v>3.86</v>
      </c>
    </row>
    <row r="13">
      <c r="A13">
        <f>HYPERLINK("https://www.tradingview.com/chart/?symbol=NSE:HSCL", "HSCL")</f>
        <v/>
      </c>
      <c r="B13" t="n">
        <v>1738276</v>
      </c>
      <c r="C13" t="n">
        <v>460620.8</v>
      </c>
      <c r="D13" t="n">
        <v>3.77</v>
      </c>
    </row>
    <row r="14">
      <c r="A14">
        <f>HYPERLINK("https://www.tradingview.com/chart/?symbol=NSE:ZENTEC", "ZENTEC")</f>
        <v/>
      </c>
      <c r="B14" t="n">
        <v>762411</v>
      </c>
      <c r="C14" t="n">
        <v>219365.2333333333</v>
      </c>
      <c r="D14" t="n">
        <v>3.48</v>
      </c>
    </row>
    <row r="15">
      <c r="A15">
        <f>HYPERLINK("https://www.tradingview.com/chart/?symbol=NSE:SBILIFE", "SBILIFE")</f>
        <v/>
      </c>
      <c r="B15" t="n">
        <v>2677688</v>
      </c>
      <c r="C15" t="n">
        <v>772355.3666666667</v>
      </c>
      <c r="D15" t="n">
        <v>3.47</v>
      </c>
    </row>
    <row r="16">
      <c r="A16">
        <f>HYPERLINK("https://www.tradingview.com/chart/?symbol=NSE:M&amp;MFIN", "M&amp;MFIN")</f>
        <v/>
      </c>
      <c r="B16" t="n">
        <v>1986267</v>
      </c>
      <c r="C16" t="n">
        <v>588969.3220338983</v>
      </c>
      <c r="D16" t="n">
        <v>3.37</v>
      </c>
    </row>
    <row r="17">
      <c r="A17">
        <f>HYPERLINK("https://www.tradingview.com/chart/?symbol=NSE:KIRLOSENG", "KIRLOSENG")</f>
        <v/>
      </c>
      <c r="B17" t="n">
        <v>531795</v>
      </c>
      <c r="C17" t="n">
        <v>158594.6666666667</v>
      </c>
      <c r="D17" t="n">
        <v>3.35</v>
      </c>
    </row>
    <row r="18">
      <c r="A18">
        <f>HYPERLINK("https://www.tradingview.com/chart/?symbol=NSE:PATANJALI", "PATANJALI")</f>
        <v/>
      </c>
      <c r="B18" t="n">
        <v>2514560</v>
      </c>
      <c r="C18" t="n">
        <v>761430.4</v>
      </c>
      <c r="D18" t="n">
        <v>3.3</v>
      </c>
    </row>
    <row r="19">
      <c r="A19">
        <f>HYPERLINK("https://www.tradingview.com/chart/?symbol=NSE:NESTLEIND", "NESTLEIND")</f>
        <v/>
      </c>
      <c r="B19" t="n">
        <v>2703254</v>
      </c>
      <c r="C19" t="n">
        <v>839893.7</v>
      </c>
      <c r="D19" t="n">
        <v>3.22</v>
      </c>
    </row>
    <row r="20">
      <c r="A20">
        <f>HYPERLINK("https://www.tradingview.com/chart/?symbol=NSE:FINCABLES", "FINCABLES")</f>
        <v/>
      </c>
      <c r="B20" t="n">
        <v>690039</v>
      </c>
      <c r="C20" t="n">
        <v>222499.0333333333</v>
      </c>
      <c r="D20" t="n">
        <v>3.1</v>
      </c>
    </row>
    <row r="21">
      <c r="A21">
        <f>HYPERLINK("https://www.tradingview.com/chart/?symbol=NSE:ELECON", "ELECON")</f>
        <v/>
      </c>
      <c r="B21" t="n">
        <v>826765</v>
      </c>
      <c r="C21" t="n">
        <v>270921.1</v>
      </c>
      <c r="D21" t="n">
        <v>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2026-04-22T19:49:34Z</dcterms:created>
  <dcterms:modified xsi:type="dcterms:W3CDTF">2026-04-22T19:49:34Z</dcterms:modified>
</cp:coreProperties>
</file>