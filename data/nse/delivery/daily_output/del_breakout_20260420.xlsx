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DELIV_QTY</t>
        </is>
      </c>
      <c r="C1" s="1" t="inlineStr">
        <is>
          <t>AVG_30_DELIV_QTY</t>
        </is>
      </c>
      <c r="D1" s="1" t="inlineStr">
        <is>
          <t>RATIO</t>
        </is>
      </c>
    </row>
    <row r="2">
      <c r="A2">
        <f>HYPERLINK("https://www.tradingview.com/chart/?symbol=NSE:TRITURBINE", "TRITURBINE")</f>
        <v/>
      </c>
      <c r="B2" t="n">
        <v>3922417</v>
      </c>
      <c r="C2" t="n">
        <v>482497.7</v>
      </c>
      <c r="D2" t="n">
        <v>8.130000000000001</v>
      </c>
    </row>
    <row r="3">
      <c r="A3">
        <f>HYPERLINK("https://www.tradingview.com/chart/?symbol=NSE:VTL", "VTL")</f>
        <v/>
      </c>
      <c r="B3" t="n">
        <v>1546607</v>
      </c>
      <c r="C3" t="n">
        <v>244894.5666666667</v>
      </c>
      <c r="D3" t="n">
        <v>6.32</v>
      </c>
    </row>
    <row r="4">
      <c r="A4">
        <f>HYPERLINK("https://www.tradingview.com/chart/?symbol=NSE:IEX", "IEX")</f>
        <v/>
      </c>
      <c r="B4" t="n">
        <v>15332924</v>
      </c>
      <c r="C4" t="n">
        <v>3135955.266666667</v>
      </c>
      <c r="D4" t="n">
        <v>4.89</v>
      </c>
    </row>
    <row r="5">
      <c r="A5">
        <f>HYPERLINK("https://www.tradingview.com/chart/?symbol=NSE:GRAPHITE", "GRAPHITE")</f>
        <v/>
      </c>
      <c r="B5" t="n">
        <v>1663419</v>
      </c>
      <c r="C5" t="n">
        <v>384498.3333333333</v>
      </c>
      <c r="D5" t="n">
        <v>4.33</v>
      </c>
    </row>
    <row r="6">
      <c r="A6">
        <f>HYPERLINK("https://www.tradingview.com/chart/?symbol=NSE:KEC", "KEC")</f>
        <v/>
      </c>
      <c r="B6" t="n">
        <v>1775273</v>
      </c>
      <c r="C6" t="n">
        <v>450623.2</v>
      </c>
      <c r="D6" t="n">
        <v>3.94</v>
      </c>
    </row>
    <row r="7">
      <c r="A7">
        <f>HYPERLINK("https://www.tradingview.com/chart/?symbol=NSE:SCI", "SCI")</f>
        <v/>
      </c>
      <c r="B7" t="n">
        <v>6221404</v>
      </c>
      <c r="C7" t="n">
        <v>1675652.533333333</v>
      </c>
      <c r="D7" t="n">
        <v>3.71</v>
      </c>
    </row>
    <row r="8">
      <c r="A8">
        <f>HYPERLINK("https://www.tradingview.com/chart/?symbol=NSE:GRANULES", "GRANULES")</f>
        <v/>
      </c>
      <c r="B8" t="n">
        <v>1877235</v>
      </c>
      <c r="C8" t="n">
        <v>534133.2333333333</v>
      </c>
      <c r="D8" t="n">
        <v>3.51</v>
      </c>
    </row>
    <row r="9">
      <c r="A9">
        <f>HYPERLINK("https://www.tradingview.com/chart/?symbol=NSE:YESBANK", "YESBANK")</f>
        <v/>
      </c>
      <c r="B9" t="n">
        <v>148898674</v>
      </c>
      <c r="C9" t="n">
        <v>44184690.78125</v>
      </c>
      <c r="D9" t="n">
        <v>3.37</v>
      </c>
    </row>
    <row r="10">
      <c r="A10">
        <f>HYPERLINK("https://www.tradingview.com/chart/?symbol=NSE:KAJARIACER", "KAJARIACER")</f>
        <v/>
      </c>
      <c r="B10" t="n">
        <v>703174</v>
      </c>
      <c r="C10" t="n">
        <v>213268.3333333333</v>
      </c>
      <c r="D10" t="n">
        <v>3.3</v>
      </c>
    </row>
    <row r="11">
      <c r="A11">
        <f>HYPERLINK("https://www.tradingview.com/chart/?symbol=NSE:CESC", "CESC")</f>
        <v/>
      </c>
      <c r="B11" t="n">
        <v>3014316</v>
      </c>
      <c r="C11" t="n">
        <v>981197.9333333333</v>
      </c>
      <c r="D11" t="n">
        <v>3.07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2026-04-21T19:48:11Z</dcterms:created>
  <dcterms:modified xsi:type="dcterms:W3CDTF">2026-04-21T19:48:11Z</dcterms:modified>
</cp:coreProperties>
</file>