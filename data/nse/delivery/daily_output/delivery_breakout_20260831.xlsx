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HYPERLINK("https://www.tradingview.com/chart/?symbol=NSE:ETERNAL","ETERNAL")</f>
        <v/>
      </c>
      <c r="B2" t="n">
        <v>328.1</v>
      </c>
      <c r="C2" t="n">
        <v>272151922</v>
      </c>
      <c r="D2" t="n">
        <v>236125194</v>
      </c>
      <c r="E2" t="n">
        <v>86.76000000000001</v>
      </c>
      <c r="F2" t="n">
        <v>16183379.4</v>
      </c>
      <c r="G2" t="n">
        <v>14.59</v>
      </c>
      <c r="H2" t="n">
        <v>8929.299999999999</v>
      </c>
      <c r="I2" t="n">
        <v>7747.27</v>
      </c>
    </row>
    <row r="3">
      <c r="A3">
        <f>HYPERLINK("https://www.tradingview.com/chart/?symbol=NSE:LAURUSLABS","LAURUSLABS")</f>
        <v/>
      </c>
      <c r="B3" t="n">
        <v>1915</v>
      </c>
      <c r="C3" t="n">
        <v>30995343</v>
      </c>
      <c r="D3" t="n">
        <v>24140560</v>
      </c>
      <c r="E3" t="n">
        <v>77.88</v>
      </c>
      <c r="F3" t="n">
        <v>1145567.9</v>
      </c>
      <c r="G3" t="n">
        <v>21.07</v>
      </c>
      <c r="H3" t="n">
        <v>5935.61</v>
      </c>
      <c r="I3" t="n">
        <v>4622.92</v>
      </c>
    </row>
    <row r="4">
      <c r="A4">
        <f>HYPERLINK("https://www.tradingview.com/chart/?symbol=NSE:LENSKART","LENSKART")</f>
        <v/>
      </c>
      <c r="B4" t="n">
        <v>662.4</v>
      </c>
      <c r="C4" t="n">
        <v>111714980</v>
      </c>
      <c r="D4" t="n">
        <v>69010168</v>
      </c>
      <c r="E4" t="n">
        <v>61.77</v>
      </c>
      <c r="F4" t="n">
        <v>3732439.066666667</v>
      </c>
      <c r="G4" t="n">
        <v>18.49</v>
      </c>
      <c r="H4" t="n">
        <v>7400</v>
      </c>
      <c r="I4" t="n">
        <v>4571.23</v>
      </c>
    </row>
    <row r="5">
      <c r="A5">
        <f>HYPERLINK("https://www.tradingview.com/chart/?symbol=NSE:ADANIENSOL","ADANIENSOL")</f>
        <v/>
      </c>
      <c r="B5" t="n">
        <v>1417.4</v>
      </c>
      <c r="C5" t="n">
        <v>35589890</v>
      </c>
      <c r="D5" t="n">
        <v>29550724</v>
      </c>
      <c r="E5" t="n">
        <v>83.03</v>
      </c>
      <c r="F5" t="n">
        <v>1113036.033333333</v>
      </c>
      <c r="G5" t="n">
        <v>26.55</v>
      </c>
      <c r="H5" t="n">
        <v>5044.51</v>
      </c>
      <c r="I5" t="n">
        <v>4188.52</v>
      </c>
    </row>
    <row r="6">
      <c r="A6">
        <f>HYPERLINK("https://www.tradingview.com/chart/?symbol=NSE:RELIANCE","RELIANCE")</f>
        <v/>
      </c>
      <c r="B6" t="n">
        <v>1277</v>
      </c>
      <c r="C6" t="n">
        <v>34871137</v>
      </c>
      <c r="D6" t="n">
        <v>30329813</v>
      </c>
      <c r="E6" t="n">
        <v>86.98</v>
      </c>
      <c r="F6" t="n">
        <v>5958328.666666667</v>
      </c>
      <c r="G6" t="n">
        <v>5.09</v>
      </c>
      <c r="H6" t="n">
        <v>4453.04</v>
      </c>
      <c r="I6" t="n">
        <v>3873.12</v>
      </c>
    </row>
    <row r="7">
      <c r="A7">
        <f>HYPERLINK("https://www.tradingview.com/chart/?symbol=NSE:GROWW","GROWW")</f>
        <v/>
      </c>
      <c r="B7" t="n">
        <v>192.06</v>
      </c>
      <c r="C7" t="n">
        <v>235495223</v>
      </c>
      <c r="D7" t="n">
        <v>156391350</v>
      </c>
      <c r="E7" t="n">
        <v>66.41</v>
      </c>
      <c r="F7" t="n">
        <v>16866410.83333333</v>
      </c>
      <c r="G7" t="n">
        <v>9.27</v>
      </c>
      <c r="H7" t="n">
        <v>4522.92</v>
      </c>
      <c r="I7" t="n">
        <v>3003.65</v>
      </c>
    </row>
    <row r="8">
      <c r="A8">
        <f>HYPERLINK("https://www.tradingview.com/chart/?symbol=NSE:ADANIENT","ADANIENT")</f>
        <v/>
      </c>
      <c r="B8" t="n">
        <v>2859.1</v>
      </c>
      <c r="C8" t="n">
        <v>12872435</v>
      </c>
      <c r="D8" t="n">
        <v>9771644</v>
      </c>
      <c r="E8" t="n">
        <v>75.91</v>
      </c>
      <c r="F8" t="n">
        <v>442356.9666666667</v>
      </c>
      <c r="G8" t="n">
        <v>22.09</v>
      </c>
      <c r="H8" t="n">
        <v>3680.36</v>
      </c>
      <c r="I8" t="n">
        <v>2793.81</v>
      </c>
    </row>
    <row r="9">
      <c r="A9">
        <f>HYPERLINK("https://www.tradingview.com/chart/?symbol=NSE:SBICARD","SBICARD")</f>
        <v/>
      </c>
      <c r="B9" t="n">
        <v>644.75</v>
      </c>
      <c r="C9" t="n">
        <v>26270918</v>
      </c>
      <c r="D9" t="n">
        <v>22645710</v>
      </c>
      <c r="E9" t="n">
        <v>86.2</v>
      </c>
      <c r="F9" t="n">
        <v>845527.3</v>
      </c>
      <c r="G9" t="n">
        <v>26.78</v>
      </c>
      <c r="H9" t="n">
        <v>1693.82</v>
      </c>
      <c r="I9" t="n">
        <v>1460.08</v>
      </c>
    </row>
    <row r="10">
      <c r="A10">
        <f>HYPERLINK("https://www.tradingview.com/chart/?symbol=NSE:BALKRISIND","BALKRISIND")</f>
        <v/>
      </c>
      <c r="B10" t="n">
        <v>2279.2</v>
      </c>
      <c r="C10" t="n">
        <v>9682350</v>
      </c>
      <c r="D10" t="n">
        <v>6210566</v>
      </c>
      <c r="E10" t="n">
        <v>64.14</v>
      </c>
      <c r="F10" t="n">
        <v>182886.1666666667</v>
      </c>
      <c r="G10" t="n">
        <v>33.96</v>
      </c>
      <c r="H10" t="n">
        <v>2206.8</v>
      </c>
      <c r="I10" t="n">
        <v>1415.51</v>
      </c>
    </row>
    <row r="11">
      <c r="A11">
        <f>HYPERLINK("https://www.tradingview.com/chart/?symbol=NSE:ASTRAL","ASTRAL")</f>
        <v/>
      </c>
      <c r="B11" t="n">
        <v>1522.2</v>
      </c>
      <c r="C11" t="n">
        <v>11516278</v>
      </c>
      <c r="D11" t="n">
        <v>8813026</v>
      </c>
      <c r="E11" t="n">
        <v>76.53</v>
      </c>
      <c r="F11" t="n">
        <v>261707.3666666667</v>
      </c>
      <c r="G11" t="n">
        <v>33.68</v>
      </c>
      <c r="H11" t="n">
        <v>1753.01</v>
      </c>
      <c r="I11" t="n">
        <v>1341.52</v>
      </c>
    </row>
    <row r="12">
      <c r="A12">
        <f>HYPERLINK("https://www.tradingview.com/chart/?symbol=NSE:ADANIPORTS","ADANIPORTS")</f>
        <v/>
      </c>
      <c r="B12" t="n">
        <v>1593.1</v>
      </c>
      <c r="C12" t="n">
        <v>9621819</v>
      </c>
      <c r="D12" t="n">
        <v>7910724</v>
      </c>
      <c r="E12" t="n">
        <v>82.22</v>
      </c>
      <c r="F12" t="n">
        <v>1150262.166666667</v>
      </c>
      <c r="G12" t="n">
        <v>6.88</v>
      </c>
      <c r="H12" t="n">
        <v>1532.85</v>
      </c>
      <c r="I12" t="n">
        <v>1260.26</v>
      </c>
    </row>
    <row r="13">
      <c r="A13">
        <f>HYPERLINK("https://www.tradingview.com/chart/?symbol=NSE:ATHERENERG","ATHERENERG")</f>
        <v/>
      </c>
      <c r="B13" t="n">
        <v>1717.7</v>
      </c>
      <c r="C13" t="n">
        <v>19768043</v>
      </c>
      <c r="D13" t="n">
        <v>6914827</v>
      </c>
      <c r="E13" t="n">
        <v>34.98</v>
      </c>
      <c r="F13" t="n">
        <v>1277177.5</v>
      </c>
      <c r="G13" t="n">
        <v>5.41</v>
      </c>
      <c r="H13" t="n">
        <v>3395.56</v>
      </c>
      <c r="I13" t="n">
        <v>1187.76</v>
      </c>
    </row>
    <row r="14">
      <c r="A14">
        <f>HYPERLINK("https://www.tradingview.com/chart/?symbol=NSE:ADANIPOWER","ADANIPOWER")</f>
        <v/>
      </c>
      <c r="B14" t="n">
        <v>198</v>
      </c>
      <c r="C14" t="n">
        <v>53907969</v>
      </c>
      <c r="D14" t="n">
        <v>35395341</v>
      </c>
      <c r="E14" t="n">
        <v>65.66</v>
      </c>
      <c r="F14" t="n">
        <v>7040648</v>
      </c>
      <c r="G14" t="n">
        <v>5.03</v>
      </c>
      <c r="H14" t="n">
        <v>1067.38</v>
      </c>
      <c r="I14" t="n">
        <v>700.83</v>
      </c>
    </row>
    <row r="15">
      <c r="A15">
        <f>HYPERLINK("https://www.tradingview.com/chart/?symbol=NSE:NAM-INDIA","NAM-INDIA")</f>
        <v/>
      </c>
      <c r="B15" t="n">
        <v>1172.3</v>
      </c>
      <c r="C15" t="n">
        <v>6320108</v>
      </c>
      <c r="D15" t="n">
        <v>5479792</v>
      </c>
      <c r="E15" t="n">
        <v>86.7</v>
      </c>
      <c r="F15" t="n">
        <v>537135.3</v>
      </c>
      <c r="G15" t="n">
        <v>10.2</v>
      </c>
      <c r="H15" t="n">
        <v>740.91</v>
      </c>
      <c r="I15" t="n">
        <v>642.4</v>
      </c>
    </row>
    <row r="16">
      <c r="A16">
        <f>HYPERLINK("https://www.tradingview.com/chart/?symbol=NSE:GMRAIRPORT","GMRAIRPORT")</f>
        <v/>
      </c>
      <c r="B16" t="n">
        <v>93.63</v>
      </c>
      <c r="C16" t="n">
        <v>59724643</v>
      </c>
      <c r="D16" t="n">
        <v>50861088</v>
      </c>
      <c r="E16" t="n">
        <v>85.16</v>
      </c>
      <c r="F16" t="n">
        <v>6966292.7</v>
      </c>
      <c r="G16" t="n">
        <v>7.3</v>
      </c>
      <c r="H16" t="n">
        <v>559.2</v>
      </c>
      <c r="I16" t="n">
        <v>476.21</v>
      </c>
    </row>
    <row r="17">
      <c r="A17">
        <f>HYPERLINK("https://www.tradingview.com/chart/?symbol=NSE:DALBHARAT","DALBHARAT")</f>
        <v/>
      </c>
      <c r="B17" t="n">
        <v>1856.2</v>
      </c>
      <c r="C17" t="n">
        <v>2142193</v>
      </c>
      <c r="D17" t="n">
        <v>1361987</v>
      </c>
      <c r="E17" t="n">
        <v>63.58</v>
      </c>
      <c r="F17" t="n">
        <v>113709.5666666667</v>
      </c>
      <c r="G17" t="n">
        <v>11.98</v>
      </c>
      <c r="H17" t="n">
        <v>397.63</v>
      </c>
      <c r="I17" t="n">
        <v>252.81</v>
      </c>
    </row>
    <row r="18">
      <c r="A18">
        <f>HYPERLINK("https://www.tradingview.com/chart/?symbol=NSE:JSWENERGY","JSWENERGY")</f>
        <v/>
      </c>
      <c r="B18" t="n">
        <v>520.4</v>
      </c>
      <c r="C18" t="n">
        <v>5957635</v>
      </c>
      <c r="D18" t="n">
        <v>4340100</v>
      </c>
      <c r="E18" t="n">
        <v>72.84999999999999</v>
      </c>
      <c r="F18" t="n">
        <v>828409.3</v>
      </c>
      <c r="G18" t="n">
        <v>5.24</v>
      </c>
      <c r="H18" t="n">
        <v>310.04</v>
      </c>
      <c r="I18" t="n">
        <v>225.86</v>
      </c>
    </row>
    <row r="19">
      <c r="A19">
        <f>HYPERLINK("https://www.tradingview.com/chart/?symbol=NSE:SUPREMEIND","SUPREMEIND")</f>
        <v/>
      </c>
      <c r="B19" t="n">
        <v>3559</v>
      </c>
      <c r="C19" t="n">
        <v>580445</v>
      </c>
      <c r="D19" t="n">
        <v>507855</v>
      </c>
      <c r="E19" t="n">
        <v>87.48999999999999</v>
      </c>
      <c r="F19" t="n">
        <v>75598.83333333333</v>
      </c>
      <c r="G19" t="n">
        <v>6.72</v>
      </c>
      <c r="H19" t="n">
        <v>206.58</v>
      </c>
      <c r="I19" t="n">
        <v>180.75</v>
      </c>
    </row>
    <row r="20">
      <c r="A20">
        <f>HYPERLINK("https://www.tradingview.com/chart/?symbol=NSE:NORTHARC","NORTHARC")</f>
        <v/>
      </c>
      <c r="B20" t="n">
        <v>311.65</v>
      </c>
      <c r="C20" t="n">
        <v>25296223</v>
      </c>
      <c r="D20" t="n">
        <v>4939052</v>
      </c>
      <c r="E20" t="n">
        <v>19.52</v>
      </c>
      <c r="F20" t="n">
        <v>562286.3666666667</v>
      </c>
      <c r="G20" t="n">
        <v>8.779999999999999</v>
      </c>
      <c r="H20" t="n">
        <v>788.36</v>
      </c>
      <c r="I20" t="n">
        <v>153.93</v>
      </c>
    </row>
    <row r="21">
      <c r="A21">
        <f>HYPERLINK("https://www.tradingview.com/chart/?symbol=NSE:LTTS","LTTS")</f>
        <v/>
      </c>
      <c r="B21" t="n">
        <v>3608.4</v>
      </c>
      <c r="C21" t="n">
        <v>685826</v>
      </c>
      <c r="D21" t="n">
        <v>425293</v>
      </c>
      <c r="E21" t="n">
        <v>62.01</v>
      </c>
      <c r="F21" t="n">
        <v>41850.43333333333</v>
      </c>
      <c r="G21" t="n">
        <v>10.16</v>
      </c>
      <c r="H21" t="n">
        <v>247.47</v>
      </c>
      <c r="I21" t="n">
        <v>153.46</v>
      </c>
    </row>
    <row r="22">
      <c r="A22">
        <f>HYPERLINK("https://www.tradingview.com/chart/?symbol=NSE:SEDEMAC","SEDEMAC")</f>
        <v/>
      </c>
      <c r="B22" t="n">
        <v>3089.4</v>
      </c>
      <c r="C22" t="n">
        <v>782871</v>
      </c>
      <c r="D22" t="n">
        <v>492861</v>
      </c>
      <c r="E22" t="n">
        <v>62.96</v>
      </c>
      <c r="F22" t="n">
        <v>70965.89999999999</v>
      </c>
      <c r="G22" t="n">
        <v>6.95</v>
      </c>
      <c r="H22" t="n">
        <v>241.86</v>
      </c>
      <c r="I22" t="n">
        <v>152.26</v>
      </c>
    </row>
    <row r="23">
      <c r="A23">
        <f>HYPERLINK("https://www.tradingview.com/chart/?symbol=NSE:INFRAIETF","INFRAIETF")</f>
        <v/>
      </c>
      <c r="B23" t="n">
        <v>94.59999999999999</v>
      </c>
      <c r="C23" t="n">
        <v>13176892</v>
      </c>
      <c r="D23" t="n">
        <v>13080128</v>
      </c>
      <c r="E23" t="n">
        <v>99.27</v>
      </c>
      <c r="F23" t="n">
        <v>145156.0333333333</v>
      </c>
      <c r="G23" t="n">
        <v>90.11</v>
      </c>
      <c r="H23" t="n">
        <v>124.65</v>
      </c>
      <c r="I23" t="n">
        <v>123.74</v>
      </c>
    </row>
    <row r="24">
      <c r="A24">
        <f>HYPERLINK("https://www.tradingview.com/chart/?symbol=NSE:FMGOETZE","FMGOETZE")</f>
        <v/>
      </c>
      <c r="B24" t="n">
        <v>624.85</v>
      </c>
      <c r="C24" t="n">
        <v>8525284</v>
      </c>
      <c r="D24" t="n">
        <v>1703510</v>
      </c>
      <c r="E24" t="n">
        <v>19.98</v>
      </c>
      <c r="F24" t="n">
        <v>182214.3</v>
      </c>
      <c r="G24" t="n">
        <v>9.35</v>
      </c>
      <c r="H24" t="n">
        <v>532.7</v>
      </c>
      <c r="I24" t="n">
        <v>106.44</v>
      </c>
    </row>
    <row r="25">
      <c r="A25">
        <f>HYPERLINK("https://www.tradingview.com/chart/?symbol=NSE:CMSINFO","CMSINFO")</f>
        <v/>
      </c>
      <c r="B25" t="n">
        <v>243.6</v>
      </c>
      <c r="C25" t="n">
        <v>5844296</v>
      </c>
      <c r="D25" t="n">
        <v>3997141</v>
      </c>
      <c r="E25" t="n">
        <v>68.39</v>
      </c>
      <c r="F25" t="n">
        <v>441193.3</v>
      </c>
      <c r="G25" t="n">
        <v>9.06</v>
      </c>
      <c r="H25" t="n">
        <v>142.37</v>
      </c>
      <c r="I25" t="n">
        <v>97.37</v>
      </c>
    </row>
    <row r="26">
      <c r="A26">
        <f>HYPERLINK("https://www.tradingview.com/chart/?symbol=NSE:MASTEK","MASTEK")</f>
        <v/>
      </c>
      <c r="B26" t="n">
        <v>1748.4</v>
      </c>
      <c r="C26" t="n">
        <v>1576060</v>
      </c>
      <c r="D26" t="n">
        <v>519079</v>
      </c>
      <c r="E26" t="n">
        <v>32.94</v>
      </c>
      <c r="F26" t="n">
        <v>56055.36666666667</v>
      </c>
      <c r="G26" t="n">
        <v>9.26</v>
      </c>
      <c r="H26" t="n">
        <v>275.56</v>
      </c>
      <c r="I26" t="n">
        <v>90.76000000000001</v>
      </c>
    </row>
    <row r="27">
      <c r="A27">
        <f>HYPERLINK("https://www.tradingview.com/chart/?symbol=NSE:RELIGARE","RELIGARE")</f>
        <v/>
      </c>
      <c r="B27" t="n">
        <v>242.8</v>
      </c>
      <c r="C27" t="n">
        <v>5288798</v>
      </c>
      <c r="D27" t="n">
        <v>3294090</v>
      </c>
      <c r="E27" t="n">
        <v>62.28</v>
      </c>
      <c r="F27" t="n">
        <v>629259.3333333334</v>
      </c>
      <c r="G27" t="n">
        <v>5.23</v>
      </c>
      <c r="H27" t="n">
        <v>128.41</v>
      </c>
      <c r="I27" t="n">
        <v>79.98</v>
      </c>
    </row>
    <row r="28">
      <c r="A28">
        <f>HYPERLINK("https://www.tradingview.com/chart/?symbol=NSE:SUNDARMFIN","SUNDARMFIN")</f>
        <v/>
      </c>
      <c r="B28" t="n">
        <v>4540</v>
      </c>
      <c r="C28" t="n">
        <v>232053</v>
      </c>
      <c r="D28" t="n">
        <v>166059</v>
      </c>
      <c r="E28" t="n">
        <v>71.56</v>
      </c>
      <c r="F28" t="n">
        <v>29890.66666666667</v>
      </c>
      <c r="G28" t="n">
        <v>5.56</v>
      </c>
      <c r="H28" t="n">
        <v>105.35</v>
      </c>
      <c r="I28" t="n">
        <v>75.39</v>
      </c>
    </row>
    <row r="29">
      <c r="A29">
        <f>HYPERLINK("https://www.tradingview.com/chart/?symbol=NSE:WEWORK","WEWORK")</f>
        <v/>
      </c>
      <c r="B29" t="n">
        <v>684.65</v>
      </c>
      <c r="C29" t="n">
        <v>1751448</v>
      </c>
      <c r="D29" t="n">
        <v>1090189</v>
      </c>
      <c r="E29" t="n">
        <v>62.25</v>
      </c>
      <c r="F29" t="n">
        <v>143813.5666666667</v>
      </c>
      <c r="G29" t="n">
        <v>7.58</v>
      </c>
      <c r="H29" t="n">
        <v>119.91</v>
      </c>
      <c r="I29" t="n">
        <v>74.64</v>
      </c>
    </row>
    <row r="30">
      <c r="A30">
        <f>HYPERLINK("https://www.tradingview.com/chart/?symbol=NSE:CLEANMAX","CLEANMAX")</f>
        <v/>
      </c>
      <c r="B30" t="n">
        <v>1246.9</v>
      </c>
      <c r="C30" t="n">
        <v>1190401</v>
      </c>
      <c r="D30" t="n">
        <v>583967</v>
      </c>
      <c r="E30" t="n">
        <v>49.06</v>
      </c>
      <c r="F30" t="n">
        <v>79480.23333333334</v>
      </c>
      <c r="G30" t="n">
        <v>7.35</v>
      </c>
      <c r="H30" t="n">
        <v>148.43</v>
      </c>
      <c r="I30" t="n">
        <v>72.81</v>
      </c>
    </row>
    <row r="31">
      <c r="A31">
        <f>HYPERLINK("https://www.tradingview.com/chart/?symbol=NSE:RCF","RCF")</f>
        <v/>
      </c>
      <c r="B31" t="n">
        <v>113.52</v>
      </c>
      <c r="C31" t="n">
        <v>7252796</v>
      </c>
      <c r="D31" t="n">
        <v>4640153</v>
      </c>
      <c r="E31" t="n">
        <v>63.98</v>
      </c>
      <c r="F31" t="n">
        <v>342865.8333333333</v>
      </c>
      <c r="G31" t="n">
        <v>13.53</v>
      </c>
      <c r="H31" t="n">
        <v>82.33</v>
      </c>
      <c r="I31" t="n">
        <v>52.68</v>
      </c>
    </row>
    <row r="32">
      <c r="A32">
        <f>HYPERLINK("https://www.tradingview.com/chart/?symbol=NSE:CANHLIFE","CANHLIFE")</f>
        <v/>
      </c>
      <c r="B32" t="n">
        <v>156.14</v>
      </c>
      <c r="C32" t="n">
        <v>7028705</v>
      </c>
      <c r="D32" t="n">
        <v>3299272</v>
      </c>
      <c r="E32" t="n">
        <v>46.94</v>
      </c>
      <c r="F32" t="n">
        <v>484580.6</v>
      </c>
      <c r="G32" t="n">
        <v>6.81</v>
      </c>
      <c r="H32" t="n">
        <v>109.75</v>
      </c>
      <c r="I32" t="n">
        <v>51.51</v>
      </c>
    </row>
    <row r="33">
      <c r="A33">
        <f>HYPERLINK("https://www.tradingview.com/chart/?symbol=NSE:RTNPOWER","RTNPOWER")</f>
        <v/>
      </c>
      <c r="B33" t="n">
        <v>7.5</v>
      </c>
      <c r="C33" t="n">
        <v>126879538</v>
      </c>
      <c r="D33" t="n">
        <v>68646106</v>
      </c>
      <c r="E33" t="n">
        <v>54.1</v>
      </c>
      <c r="F33" t="n">
        <v>5400672.5</v>
      </c>
      <c r="G33" t="n">
        <v>12.71</v>
      </c>
      <c r="H33" t="n">
        <v>95.16</v>
      </c>
      <c r="I33" t="n">
        <v>51.48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2026-08-31T23:00:30Z</dcterms:created>
  <dcterms:modified xsi:type="dcterms:W3CDTF">2026-08-31T23:00:30Z</dcterms:modified>
</cp:coreProperties>
</file>