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HYPERLINK("https://www.tradingview.com/chart/?symbol=NSE:SUNTV", "SUNTV")</f>
        <v/>
      </c>
      <c r="B2" t="n">
        <v>2943893</v>
      </c>
      <c r="C2" t="n">
        <v>245613.7666666667</v>
      </c>
      <c r="D2" t="n">
        <v>11.99</v>
      </c>
    </row>
    <row r="3">
      <c r="A3">
        <f>HYPERLINK("https://www.tradingview.com/chart/?symbol=NSE:ADANIENSOL", "ADANIENSOL")</f>
        <v/>
      </c>
      <c r="B3" t="n">
        <v>7064815</v>
      </c>
      <c r="C3" t="n">
        <v>771392.9</v>
      </c>
      <c r="D3" t="n">
        <v>9.16</v>
      </c>
    </row>
    <row r="4">
      <c r="A4">
        <f>HYPERLINK("https://www.tradingview.com/chart/?symbol=NSE:NSLNISP", "NSLNISP")</f>
        <v/>
      </c>
      <c r="B4" t="n">
        <v>10188552</v>
      </c>
      <c r="C4" t="n">
        <v>1918173.233333333</v>
      </c>
      <c r="D4" t="n">
        <v>5.31</v>
      </c>
    </row>
    <row r="5">
      <c r="A5">
        <f>HYPERLINK("https://www.tradingview.com/chart/?symbol=NSE:APTUS", "APTUS")</f>
        <v/>
      </c>
      <c r="B5" t="n">
        <v>3456511</v>
      </c>
      <c r="C5" t="n">
        <v>937073.9333333333</v>
      </c>
      <c r="D5" t="n">
        <v>3.69</v>
      </c>
    </row>
    <row r="6">
      <c r="A6">
        <f>HYPERLINK("https://www.tradingview.com/chart/?symbol=NSE:STARHEALTH", "STARHEALTH")</f>
        <v/>
      </c>
      <c r="B6" t="n">
        <v>860860</v>
      </c>
      <c r="C6" t="n">
        <v>246346.3333333333</v>
      </c>
      <c r="D6" t="n">
        <v>3.49</v>
      </c>
    </row>
    <row r="7">
      <c r="A7">
        <f>HYPERLINK("https://www.tradingview.com/chart/?symbol=NSE:AEGISVOPAK", "AEGISVOPAK")</f>
        <v/>
      </c>
      <c r="B7" t="n">
        <v>995223</v>
      </c>
      <c r="C7" t="n">
        <v>292437.4666666667</v>
      </c>
      <c r="D7" t="n">
        <v>3.4</v>
      </c>
    </row>
    <row r="8">
      <c r="A8">
        <f>HYPERLINK("https://www.tradingview.com/chart/?symbol=NSE:SIGNATURE", "SIGNATURE")</f>
        <v/>
      </c>
      <c r="B8" t="n">
        <v>236490</v>
      </c>
      <c r="C8" t="n">
        <v>70082.76666666666</v>
      </c>
      <c r="D8" t="n">
        <v>3.37</v>
      </c>
    </row>
    <row r="9">
      <c r="A9">
        <f>HYPERLINK("https://www.tradingview.com/chart/?symbol=NSE:LLOYDSME", "LLOYDSME")</f>
        <v/>
      </c>
      <c r="B9" t="n">
        <v>1147461</v>
      </c>
      <c r="C9" t="n">
        <v>357803.2666666667</v>
      </c>
      <c r="D9" t="n">
        <v>3.21</v>
      </c>
    </row>
    <row r="10">
      <c r="A10">
        <f>HYPERLINK("https://www.tradingview.com/chart/?symbol=NSE:APLLTD", "APLLTD")</f>
        <v/>
      </c>
      <c r="B10" t="n">
        <v>75243</v>
      </c>
      <c r="C10" t="n">
        <v>24325.36666666666</v>
      </c>
      <c r="D10" t="n">
        <v>3.09</v>
      </c>
    </row>
    <row r="11">
      <c r="A11">
        <f>HYPERLINK("https://www.tradingview.com/chart/?symbol=NSE:MSUMI", "MSUMI")</f>
        <v/>
      </c>
      <c r="B11" t="n">
        <v>10507406</v>
      </c>
      <c r="C11" t="n">
        <v>3453199</v>
      </c>
      <c r="D11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2026-03-24T19:37:59Z</dcterms:created>
  <dcterms:modified xsi:type="dcterms:W3CDTF">2026-03-24T19:37:59Z</dcterms:modified>
</cp:coreProperties>
</file>