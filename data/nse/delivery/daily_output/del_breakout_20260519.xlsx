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HYPERLINK("https://www.tradingview.com/chart/?symbol=NSE:CGCL", "CGCL")</f>
        <v/>
      </c>
      <c r="B2" t="n">
        <v>6893500</v>
      </c>
      <c r="C2" t="n">
        <v>917260.4666666667</v>
      </c>
      <c r="D2" t="n">
        <v>7.52</v>
      </c>
    </row>
    <row r="3">
      <c r="A3">
        <f>HYPERLINK("https://www.tradingview.com/chart/?symbol=NSE:JAINREC", "JAINREC")</f>
        <v/>
      </c>
      <c r="B3" t="n">
        <v>6200234</v>
      </c>
      <c r="C3" t="n">
        <v>908319.7333333333</v>
      </c>
      <c r="D3" t="n">
        <v>6.83</v>
      </c>
    </row>
    <row r="4">
      <c r="A4">
        <f>HYPERLINK("https://www.tradingview.com/chart/?symbol=NSE:HEXT", "HEXT")</f>
        <v/>
      </c>
      <c r="B4" t="n">
        <v>1554710</v>
      </c>
      <c r="C4" t="n">
        <v>329560.3333333333</v>
      </c>
      <c r="D4" t="n">
        <v>4.72</v>
      </c>
    </row>
    <row r="5">
      <c r="A5">
        <f>HYPERLINK("https://www.tradingview.com/chart/?symbol=NSE:GLAND", "GLAND")</f>
        <v/>
      </c>
      <c r="B5" t="n">
        <v>629504</v>
      </c>
      <c r="C5" t="n">
        <v>145503.7666666667</v>
      </c>
      <c r="D5" t="n">
        <v>4.33</v>
      </c>
    </row>
    <row r="6">
      <c r="A6">
        <f>HYPERLINK("https://www.tradingview.com/chart/?symbol=NSE:ZYDUSLIFE", "ZYDUSLIFE")</f>
        <v/>
      </c>
      <c r="B6" t="n">
        <v>1716589</v>
      </c>
      <c r="C6" t="n">
        <v>427747.3666666666</v>
      </c>
      <c r="D6" t="n">
        <v>4.01</v>
      </c>
    </row>
    <row r="7">
      <c r="A7">
        <f>HYPERLINK("https://www.tradingview.com/chart/?symbol=NSE:TRITURBINE", "TRITURBINE")</f>
        <v/>
      </c>
      <c r="B7" t="n">
        <v>2853543</v>
      </c>
      <c r="C7" t="n">
        <v>748124.1666666666</v>
      </c>
      <c r="D7" t="n">
        <v>3.81</v>
      </c>
    </row>
    <row r="8">
      <c r="A8">
        <f>HYPERLINK("https://www.tradingview.com/chart/?symbol=NSE:LATENTVIEW", "LATENTVIEW")</f>
        <v/>
      </c>
      <c r="B8" t="n">
        <v>1251904</v>
      </c>
      <c r="C8" t="n">
        <v>371973.9666666667</v>
      </c>
      <c r="D8" t="n">
        <v>3.37</v>
      </c>
    </row>
    <row r="9">
      <c r="A9">
        <f>HYPERLINK("https://www.tradingview.com/chart/?symbol=NSE:TATATECH", "TATATECH")</f>
        <v/>
      </c>
      <c r="B9" t="n">
        <v>1618374</v>
      </c>
      <c r="C9" t="n">
        <v>496026.4333333333</v>
      </c>
      <c r="D9" t="n">
        <v>3.26</v>
      </c>
    </row>
    <row r="10">
      <c r="A10">
        <f>HYPERLINK("https://www.tradingview.com/chart/?symbol=NSE:AMBER", "AMBER")</f>
        <v/>
      </c>
      <c r="B10" t="n">
        <v>375827</v>
      </c>
      <c r="C10" t="n">
        <v>117714.8333333333</v>
      </c>
      <c r="D10" t="n">
        <v>3.19</v>
      </c>
    </row>
    <row r="11">
      <c r="A11">
        <f>HYPERLINK("https://www.tradingview.com/chart/?symbol=NSE:HYUNDAI", "HYUNDAI")</f>
        <v/>
      </c>
      <c r="B11" t="n">
        <v>1582638</v>
      </c>
      <c r="C11" t="n">
        <v>501932.1666666667</v>
      </c>
      <c r="D11" t="n">
        <v>3.15</v>
      </c>
    </row>
    <row r="12">
      <c r="A12">
        <f>HYPERLINK("https://www.tradingview.com/chart/?symbol=NSE:APOLLOTYRE", "APOLLOTYRE")</f>
        <v/>
      </c>
      <c r="B12" t="n">
        <v>2222831</v>
      </c>
      <c r="C12" t="n">
        <v>711815.7333333333</v>
      </c>
      <c r="D12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2026-05-20T04:08:23Z</dcterms:created>
  <dcterms:modified xsi:type="dcterms:W3CDTF">2026-05-20T04:08:23Z</dcterms:modified>
</cp:coreProperties>
</file>