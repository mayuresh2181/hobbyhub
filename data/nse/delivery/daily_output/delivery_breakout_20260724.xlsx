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HYPERLINK("https://www.tradingview.com/chart/?symbol=NSE:SHADOWFAX","SHADOWFAX")</f>
        <v/>
      </c>
      <c r="B2" t="n">
        <v>214.48</v>
      </c>
      <c r="C2" t="n">
        <v>158421094</v>
      </c>
      <c r="D2" t="n">
        <v>89194123</v>
      </c>
      <c r="E2" t="n">
        <v>56.3</v>
      </c>
      <c r="F2" t="n">
        <v>1024318.4</v>
      </c>
      <c r="G2" t="n">
        <v>87.08</v>
      </c>
      <c r="H2" t="n">
        <v>3397.82</v>
      </c>
      <c r="I2" t="n">
        <v>1913.04</v>
      </c>
    </row>
    <row r="3">
      <c r="A3">
        <f>HYPERLINK("https://www.tradingview.com/chart/?symbol=NSE:MOTILALOFS","MOTILALOFS")</f>
        <v/>
      </c>
      <c r="B3" t="n">
        <v>871.95</v>
      </c>
      <c r="C3" t="n">
        <v>14328752</v>
      </c>
      <c r="D3" t="n">
        <v>2498550</v>
      </c>
      <c r="E3" t="n">
        <v>17.44</v>
      </c>
      <c r="F3" t="n">
        <v>330589.2333333333</v>
      </c>
      <c r="G3" t="n">
        <v>7.56</v>
      </c>
      <c r="H3" t="n">
        <v>1249.4</v>
      </c>
      <c r="I3" t="n">
        <v>217.86</v>
      </c>
    </row>
    <row r="4">
      <c r="A4">
        <f>HYPERLINK("https://www.tradingview.com/chart/?symbol=NSE:BLUESTONE","BLUESTONE")</f>
        <v/>
      </c>
      <c r="B4" t="n">
        <v>772.4</v>
      </c>
      <c r="C4" t="n">
        <v>26038844</v>
      </c>
      <c r="D4" t="n">
        <v>2079023</v>
      </c>
      <c r="E4" t="n">
        <v>7.98</v>
      </c>
      <c r="F4" t="n">
        <v>388514</v>
      </c>
      <c r="G4" t="n">
        <v>5.35</v>
      </c>
      <c r="H4" t="n">
        <v>2011.24</v>
      </c>
      <c r="I4" t="n">
        <v>160.58</v>
      </c>
    </row>
    <row r="5">
      <c r="A5">
        <f>HYPERLINK("https://www.tradingview.com/chart/?symbol=NSE:SURYODAY","SURYODAY")</f>
        <v/>
      </c>
      <c r="B5" t="n">
        <v>193.1</v>
      </c>
      <c r="C5" t="n">
        <v>78669391</v>
      </c>
      <c r="D5" t="n">
        <v>4302701</v>
      </c>
      <c r="E5" t="n">
        <v>5.47</v>
      </c>
      <c r="F5" t="n">
        <v>278522.1333333334</v>
      </c>
      <c r="G5" t="n">
        <v>15.45</v>
      </c>
      <c r="H5" t="n">
        <v>1519.11</v>
      </c>
      <c r="I5" t="n">
        <v>83.09</v>
      </c>
    </row>
    <row r="6">
      <c r="A6">
        <f>HYPERLINK("https://www.tradingview.com/chart/?symbol=NSE:ATUL","ATUL")</f>
        <v/>
      </c>
      <c r="B6" t="n">
        <v>6407.5</v>
      </c>
      <c r="C6" t="n">
        <v>403648</v>
      </c>
      <c r="D6" t="n">
        <v>128018</v>
      </c>
      <c r="E6" t="n">
        <v>31.72</v>
      </c>
      <c r="F6" t="n">
        <v>15638.23333333333</v>
      </c>
      <c r="G6" t="n">
        <v>8.19</v>
      </c>
      <c r="H6" t="n">
        <v>258.64</v>
      </c>
      <c r="I6" t="n">
        <v>82.03</v>
      </c>
    </row>
    <row r="7">
      <c r="A7">
        <f>HYPERLINK("https://www.tradingview.com/chart/?symbol=NSE:THYROCARE","THYROCARE")</f>
        <v/>
      </c>
      <c r="B7" t="n">
        <v>564.25</v>
      </c>
      <c r="C7" t="n">
        <v>12158394</v>
      </c>
      <c r="D7" t="n">
        <v>956667</v>
      </c>
      <c r="E7" t="n">
        <v>7.87</v>
      </c>
      <c r="F7" t="n">
        <v>177141.8333333333</v>
      </c>
      <c r="G7" t="n">
        <v>5.4</v>
      </c>
      <c r="H7" t="n">
        <v>686.04</v>
      </c>
      <c r="I7" t="n">
        <v>53.98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2026-07-24T19:58:11Z</dcterms:created>
  <dcterms:modified xsi:type="dcterms:W3CDTF">2026-07-24T19:58:11Z</dcterms:modified>
</cp:coreProperties>
</file>