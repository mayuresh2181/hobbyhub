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HYPERLINK("https://www.tradingview.com/chart/?symbol=NSE:GICRE","GICRE")</f>
        <v/>
      </c>
      <c r="B2" t="n">
        <v>4359707</v>
      </c>
      <c r="C2" t="n">
        <v>186422.5862068966</v>
      </c>
      <c r="D2" t="n">
        <v>23.39</v>
      </c>
    </row>
    <row r="3">
      <c r="A3">
        <f>HYPERLINK("https://www.tradingview.com/chart/?symbol=NSE:FACT","FACT")</f>
        <v/>
      </c>
      <c r="B3" t="n">
        <v>975625</v>
      </c>
      <c r="C3" t="n">
        <v>64729.13793103449</v>
      </c>
      <c r="D3" t="n">
        <v>15.07</v>
      </c>
    </row>
    <row r="4">
      <c r="A4">
        <f>HYPERLINK("https://www.tradingview.com/chart/?symbol=NSE:SONATSOFTW","SONATSOFTW")</f>
        <v/>
      </c>
      <c r="B4" t="n">
        <v>3883086</v>
      </c>
      <c r="C4" t="n">
        <v>364564.3103448276</v>
      </c>
      <c r="D4" t="n">
        <v>10.65</v>
      </c>
    </row>
    <row r="5">
      <c r="A5">
        <f>HYPERLINK("https://www.tradingview.com/chart/?symbol=NSE:KPIL","KPIL")</f>
        <v/>
      </c>
      <c r="B5" t="n">
        <v>1075856</v>
      </c>
      <c r="C5" t="n">
        <v>107641.2413793103</v>
      </c>
      <c r="D5" t="n">
        <v>9.99</v>
      </c>
    </row>
    <row r="6">
      <c r="A6">
        <f>HYPERLINK("https://www.tradingview.com/chart/?symbol=NSE:MMTC","MMTC")</f>
        <v/>
      </c>
      <c r="B6" t="n">
        <v>10555918</v>
      </c>
      <c r="C6" t="n">
        <v>1176933.344827586</v>
      </c>
      <c r="D6" t="n">
        <v>8.970000000000001</v>
      </c>
    </row>
    <row r="7">
      <c r="A7">
        <f>HYPERLINK("https://www.tradingview.com/chart/?symbol=NSE:HEXT","HEXT")</f>
        <v/>
      </c>
      <c r="B7" t="n">
        <v>2064082</v>
      </c>
      <c r="C7" t="n">
        <v>304824.2413793103</v>
      </c>
      <c r="D7" t="n">
        <v>6.77</v>
      </c>
    </row>
    <row r="8">
      <c r="A8">
        <f>HYPERLINK("https://www.tradingview.com/chart/?symbol=NSE:LALPATHLAB","LALPATHLAB")</f>
        <v/>
      </c>
      <c r="B8" t="n">
        <v>898464</v>
      </c>
      <c r="C8" t="n">
        <v>179849.9310344828</v>
      </c>
      <c r="D8" t="n">
        <v>5</v>
      </c>
    </row>
    <row r="9">
      <c r="A9">
        <f>HYPERLINK("https://www.tradingview.com/chart/?symbol=NSE:LTFOODS","LTFOODS")</f>
        <v/>
      </c>
      <c r="B9" t="n">
        <v>723698</v>
      </c>
      <c r="C9" t="n">
        <v>186670.5862068966</v>
      </c>
      <c r="D9" t="n">
        <v>3.88</v>
      </c>
    </row>
    <row r="10">
      <c r="A10">
        <f>HYPERLINK("https://www.tradingview.com/chart/?symbol=NSE:SAPPHIRE","SAPPHIRE")</f>
        <v/>
      </c>
      <c r="B10" t="n">
        <v>2831123</v>
      </c>
      <c r="C10" t="n">
        <v>735319.3448275862</v>
      </c>
      <c r="D10" t="n">
        <v>3.85</v>
      </c>
    </row>
    <row r="11">
      <c r="A11">
        <f>HYPERLINK("https://www.tradingview.com/chart/?symbol=NSE:DEVYANI","DEVYANI")</f>
        <v/>
      </c>
      <c r="B11" t="n">
        <v>3158728</v>
      </c>
      <c r="C11" t="n">
        <v>856967.0344827586</v>
      </c>
      <c r="D11" t="n">
        <v>3.69</v>
      </c>
    </row>
    <row r="12">
      <c r="A12">
        <f>HYPERLINK("https://www.tradingview.com/chart/?symbol=NSE:SUMICHEM","SUMICHEM")</f>
        <v/>
      </c>
      <c r="B12" t="n">
        <v>614991</v>
      </c>
      <c r="C12" t="n">
        <v>174785.8965517241</v>
      </c>
      <c r="D12" t="n">
        <v>3.52</v>
      </c>
    </row>
    <row r="13">
      <c r="A13">
        <f>HYPERLINK("https://www.tradingview.com/chart/?symbol=NSE:NIVABUPA","NIVABUPA")</f>
        <v/>
      </c>
      <c r="B13" t="n">
        <v>4239901</v>
      </c>
      <c r="C13" t="n">
        <v>1217499.310344828</v>
      </c>
      <c r="D13" t="n">
        <v>3.48</v>
      </c>
    </row>
    <row r="14">
      <c r="A14">
        <f>HYPERLINK("https://www.tradingview.com/chart/?symbol=NSE:CYIENT","CYIENT")</f>
        <v/>
      </c>
      <c r="B14" t="n">
        <v>762486</v>
      </c>
      <c r="C14" t="n">
        <v>219939.9310344828</v>
      </c>
      <c r="D14" t="n">
        <v>3.47</v>
      </c>
    </row>
    <row r="15">
      <c r="A15">
        <f>HYPERLINK("https://www.tradingview.com/chart/?symbol=NSE:BRIGADE","BRIGADE")</f>
        <v/>
      </c>
      <c r="B15" t="n">
        <v>455443</v>
      </c>
      <c r="C15" t="n">
        <v>139986.9655172414</v>
      </c>
      <c r="D15" t="n">
        <v>3.25</v>
      </c>
    </row>
    <row r="16">
      <c r="A16">
        <f>HYPERLINK("https://www.tradingview.com/chart/?symbol=NSE:MEESHO","MEESHO")</f>
        <v/>
      </c>
      <c r="B16" t="n">
        <v>26613812</v>
      </c>
      <c r="C16" t="n">
        <v>8210882.310344827</v>
      </c>
      <c r="D16" t="n">
        <v>3.24</v>
      </c>
    </row>
    <row r="17">
      <c r="A17">
        <f>HYPERLINK("https://www.tradingview.com/chart/?symbol=NSE:INDIAMART","INDIAMART")</f>
        <v/>
      </c>
      <c r="B17" t="n">
        <v>149441</v>
      </c>
      <c r="C17" t="n">
        <v>47055.24137931035</v>
      </c>
      <c r="D17" t="n">
        <v>3.18</v>
      </c>
    </row>
    <row r="18">
      <c r="A18">
        <f>HYPERLINK("https://www.tradingview.com/chart/?symbol=NSE:HDBFS","HDBFS")</f>
        <v/>
      </c>
      <c r="B18" t="n">
        <v>769713</v>
      </c>
      <c r="C18" t="n">
        <v>252980.3448275862</v>
      </c>
      <c r="D18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2026-06-17T20:36:39Z</dcterms:created>
  <dcterms:modified xsi:type="dcterms:W3CDTF">2026-06-17T20:36:39Z</dcterms:modified>
</cp:coreProperties>
</file>