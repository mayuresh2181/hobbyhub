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HYPERLINK("https://www.tradingview.com/chart/?symbol=NSE:SAGILITY","SAGILITY")</f>
        <v/>
      </c>
      <c r="B2" t="n">
        <v>42.08</v>
      </c>
      <c r="C2" t="n">
        <v>773318689</v>
      </c>
      <c r="D2" t="n">
        <v>586095041</v>
      </c>
      <c r="E2" t="n">
        <v>75.79000000000001</v>
      </c>
      <c r="F2" t="n">
        <v>6777330</v>
      </c>
      <c r="G2" t="n">
        <v>86.48</v>
      </c>
      <c r="H2" t="n">
        <v>3254.13</v>
      </c>
      <c r="I2" t="n">
        <v>2466.29</v>
      </c>
    </row>
    <row r="3">
      <c r="A3">
        <f>HYPERLINK("https://www.tradingview.com/chart/?symbol=NSE:GODREJCP","GODREJCP")</f>
        <v/>
      </c>
      <c r="B3" t="n">
        <v>818</v>
      </c>
      <c r="C3" t="n">
        <v>9567186</v>
      </c>
      <c r="D3" t="n">
        <v>4904661</v>
      </c>
      <c r="E3" t="n">
        <v>51.27</v>
      </c>
      <c r="F3" t="n">
        <v>523643.8333333333</v>
      </c>
      <c r="G3" t="n">
        <v>9.369999999999999</v>
      </c>
      <c r="H3" t="n">
        <v>782.6</v>
      </c>
      <c r="I3" t="n">
        <v>401.2</v>
      </c>
    </row>
    <row r="4">
      <c r="A4">
        <f>HYPERLINK("https://www.tradingview.com/chart/?symbol=NSE:EQUITASBNK","EQUITASBNK")</f>
        <v/>
      </c>
      <c r="B4" t="n">
        <v>53.59</v>
      </c>
      <c r="C4" t="n">
        <v>188737519</v>
      </c>
      <c r="D4" t="n">
        <v>59568622</v>
      </c>
      <c r="E4" t="n">
        <v>31.56</v>
      </c>
      <c r="F4" t="n">
        <v>1687650.466666667</v>
      </c>
      <c r="G4" t="n">
        <v>35.3</v>
      </c>
      <c r="H4" t="n">
        <v>1011.44</v>
      </c>
      <c r="I4" t="n">
        <v>319.23</v>
      </c>
    </row>
    <row r="5">
      <c r="A5">
        <f>HYPERLINK("https://www.tradingview.com/chart/?symbol=NSE:CAMS","CAMS")</f>
        <v/>
      </c>
      <c r="B5" t="n">
        <v>653.6</v>
      </c>
      <c r="C5" t="n">
        <v>7075584</v>
      </c>
      <c r="D5" t="n">
        <v>3975534</v>
      </c>
      <c r="E5" t="n">
        <v>56.19</v>
      </c>
      <c r="F5" t="n">
        <v>548287.0666666667</v>
      </c>
      <c r="G5" t="n">
        <v>7.25</v>
      </c>
      <c r="H5" t="n">
        <v>462.46</v>
      </c>
      <c r="I5" t="n">
        <v>259.84</v>
      </c>
    </row>
    <row r="6">
      <c r="A6">
        <f>HYPERLINK("https://www.tradingview.com/chart/?symbol=NSE:STAR","STAR")</f>
        <v/>
      </c>
      <c r="B6" t="n">
        <v>1068.8</v>
      </c>
      <c r="C6" t="n">
        <v>2677985</v>
      </c>
      <c r="D6" t="n">
        <v>1366922</v>
      </c>
      <c r="E6" t="n">
        <v>51.04</v>
      </c>
      <c r="F6" t="n">
        <v>127524.3333333333</v>
      </c>
      <c r="G6" t="n">
        <v>10.72</v>
      </c>
      <c r="H6" t="n">
        <v>286.22</v>
      </c>
      <c r="I6" t="n">
        <v>146.1</v>
      </c>
    </row>
    <row r="7">
      <c r="A7">
        <f>HYPERLINK("https://www.tradingview.com/chart/?symbol=NSE:VEDPOWER","VEDPOWER")</f>
        <v/>
      </c>
      <c r="B7" t="n">
        <v>33.13</v>
      </c>
      <c r="C7" t="n">
        <v>298989561</v>
      </c>
      <c r="D7" t="n">
        <v>41350377</v>
      </c>
      <c r="E7" t="n">
        <v>13.83</v>
      </c>
      <c r="F7" t="n">
        <v>7229318.066666666</v>
      </c>
      <c r="G7" t="n">
        <v>5.72</v>
      </c>
      <c r="H7" t="n">
        <v>990.55</v>
      </c>
      <c r="I7" t="n">
        <v>136.99</v>
      </c>
    </row>
    <row r="8">
      <c r="A8">
        <f>HYPERLINK("https://www.tradingview.com/chart/?symbol=NSE:THYROCARE","THYROCARE")</f>
        <v/>
      </c>
      <c r="B8" t="n">
        <v>456.3</v>
      </c>
      <c r="C8" t="n">
        <v>6051038</v>
      </c>
      <c r="D8" t="n">
        <v>2472474</v>
      </c>
      <c r="E8" t="n">
        <v>40.86</v>
      </c>
      <c r="F8" t="n">
        <v>179817.6666666667</v>
      </c>
      <c r="G8" t="n">
        <v>13.75</v>
      </c>
      <c r="H8" t="n">
        <v>276.11</v>
      </c>
      <c r="I8" t="n">
        <v>112.82</v>
      </c>
    </row>
    <row r="9">
      <c r="A9">
        <f>HYPERLINK("https://www.tradingview.com/chart/?symbol=NSE:DEEPAKNTR","DEEPAKNTR")</f>
        <v/>
      </c>
      <c r="B9" t="n">
        <v>1519.4</v>
      </c>
      <c r="C9" t="n">
        <v>4806470</v>
      </c>
      <c r="D9" t="n">
        <v>658017</v>
      </c>
      <c r="E9" t="n">
        <v>13.69</v>
      </c>
      <c r="F9" t="n">
        <v>91654</v>
      </c>
      <c r="G9" t="n">
        <v>7.18</v>
      </c>
      <c r="H9" t="n">
        <v>730.3</v>
      </c>
      <c r="I9" t="n">
        <v>99.98</v>
      </c>
    </row>
    <row r="10">
      <c r="A10">
        <f>HYPERLINK("https://www.tradingview.com/chart/?symbol=NSE:PARADEEP","PARADEEP")</f>
        <v/>
      </c>
      <c r="B10" t="n">
        <v>129.1</v>
      </c>
      <c r="C10" t="n">
        <v>28696153</v>
      </c>
      <c r="D10" t="n">
        <v>7333981</v>
      </c>
      <c r="E10" t="n">
        <v>25.56</v>
      </c>
      <c r="F10" t="n">
        <v>713032.2666666667</v>
      </c>
      <c r="G10" t="n">
        <v>10.29</v>
      </c>
      <c r="H10" t="n">
        <v>370.47</v>
      </c>
      <c r="I10" t="n">
        <v>94.68000000000001</v>
      </c>
    </row>
    <row r="11">
      <c r="A11">
        <f>HYPERLINK("https://www.tradingview.com/chart/?symbol=NSE:ECLERX","ECLERX")</f>
        <v/>
      </c>
      <c r="B11" t="n">
        <v>1556.7</v>
      </c>
      <c r="C11" t="n">
        <v>1509168</v>
      </c>
      <c r="D11" t="n">
        <v>590084</v>
      </c>
      <c r="E11" t="n">
        <v>39.1</v>
      </c>
      <c r="F11" t="n">
        <v>88656.2</v>
      </c>
      <c r="G11" t="n">
        <v>6.66</v>
      </c>
      <c r="H11" t="n">
        <v>234.93</v>
      </c>
      <c r="I11" t="n">
        <v>91.86</v>
      </c>
    </row>
    <row r="12">
      <c r="A12">
        <f>HYPERLINK("https://www.tradingview.com/chart/?symbol=NSE:AJANTPHARM","AJANTPHARM")</f>
        <v/>
      </c>
      <c r="B12" t="n">
        <v>3508.8</v>
      </c>
      <c r="C12" t="n">
        <v>952558</v>
      </c>
      <c r="D12" t="n">
        <v>253387</v>
      </c>
      <c r="E12" t="n">
        <v>26.6</v>
      </c>
      <c r="F12" t="n">
        <v>47289.4</v>
      </c>
      <c r="G12" t="n">
        <v>5.36</v>
      </c>
      <c r="H12" t="n">
        <v>334.23</v>
      </c>
      <c r="I12" t="n">
        <v>88.91</v>
      </c>
    </row>
    <row r="13">
      <c r="A13">
        <f>HYPERLINK("https://www.tradingview.com/chart/?symbol=NSE:SENORES","SENORES")</f>
        <v/>
      </c>
      <c r="B13" t="n">
        <v>1133.9</v>
      </c>
      <c r="C13" t="n">
        <v>2316991</v>
      </c>
      <c r="D13" t="n">
        <v>781641</v>
      </c>
      <c r="E13" t="n">
        <v>33.74</v>
      </c>
      <c r="F13" t="n">
        <v>115652.9666666667</v>
      </c>
      <c r="G13" t="n">
        <v>6.76</v>
      </c>
      <c r="H13" t="n">
        <v>262.72</v>
      </c>
      <c r="I13" t="n">
        <v>88.63</v>
      </c>
    </row>
    <row r="14">
      <c r="A14">
        <f>HYPERLINK("https://www.tradingview.com/chart/?symbol=NSE:MARSONS","MARSONS")</f>
        <v/>
      </c>
      <c r="B14" t="n">
        <v>148.62</v>
      </c>
      <c r="C14" t="n">
        <v>29641029</v>
      </c>
      <c r="D14" t="n">
        <v>5720070</v>
      </c>
      <c r="E14" t="n">
        <v>19.3</v>
      </c>
      <c r="F14" t="n">
        <v>1058717.3</v>
      </c>
      <c r="G14" t="n">
        <v>5.4</v>
      </c>
      <c r="H14" t="n">
        <v>440.52</v>
      </c>
      <c r="I14" t="n">
        <v>85.01000000000001</v>
      </c>
    </row>
    <row r="15">
      <c r="A15">
        <f>HYPERLINK("https://www.tradingview.com/chart/?symbol=NSE:ALIVUS","ALIVUS")</f>
        <v/>
      </c>
      <c r="B15" t="n">
        <v>1415.3</v>
      </c>
      <c r="C15" t="n">
        <v>1147213</v>
      </c>
      <c r="D15" t="n">
        <v>395443</v>
      </c>
      <c r="E15" t="n">
        <v>34.47</v>
      </c>
      <c r="F15" t="n">
        <v>67417.3</v>
      </c>
      <c r="G15" t="n">
        <v>5.87</v>
      </c>
      <c r="H15" t="n">
        <v>162.37</v>
      </c>
      <c r="I15" t="n">
        <v>55.97</v>
      </c>
    </row>
    <row r="16">
      <c r="A16">
        <f>HYPERLINK("https://www.tradingview.com/chart/?symbol=NSE:DALBHARAT","DALBHARAT")</f>
        <v/>
      </c>
      <c r="B16" t="n">
        <v>1326.2</v>
      </c>
      <c r="C16" t="n">
        <v>767053</v>
      </c>
      <c r="D16" t="n">
        <v>401419</v>
      </c>
      <c r="E16" t="n">
        <v>52.33</v>
      </c>
      <c r="F16" t="n">
        <v>79425.56666666667</v>
      </c>
      <c r="G16" t="n">
        <v>5.05</v>
      </c>
      <c r="H16" t="n">
        <v>101.73</v>
      </c>
      <c r="I16" t="n">
        <v>53.24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2026-10-30T22:37:30Z</dcterms:created>
  <dcterms:modified xsi:type="dcterms:W3CDTF">2026-10-30T22:37:30Z</dcterms:modified>
</cp:coreProperties>
</file>