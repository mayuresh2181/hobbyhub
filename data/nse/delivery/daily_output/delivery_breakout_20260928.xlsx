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HYPERLINK("https://www.tradingview.com/chart/?symbol=NSE:CLEANMAX","CLEANMAX")</f>
        <v/>
      </c>
      <c r="B2" t="n">
        <v>1373.1</v>
      </c>
      <c r="C2" t="n">
        <v>15272105</v>
      </c>
      <c r="D2" t="n">
        <v>9187889</v>
      </c>
      <c r="E2" t="n">
        <v>60.16</v>
      </c>
      <c r="F2" t="n">
        <v>123494.3666666667</v>
      </c>
      <c r="G2" t="n">
        <v>74.40000000000001</v>
      </c>
      <c r="H2" t="n">
        <v>2097.01</v>
      </c>
      <c r="I2" t="n">
        <v>1261.59</v>
      </c>
    </row>
    <row r="3">
      <c r="A3">
        <f>HYPERLINK("https://www.tradingview.com/chart/?symbol=NSE:AEQUS","AEQUS")</f>
        <v/>
      </c>
      <c r="B3" t="n">
        <v>260.1</v>
      </c>
      <c r="C3" t="n">
        <v>33667541</v>
      </c>
      <c r="D3" t="n">
        <v>9783074</v>
      </c>
      <c r="E3" t="n">
        <v>29.06</v>
      </c>
      <c r="F3" t="n">
        <v>1136850.5</v>
      </c>
      <c r="G3" t="n">
        <v>8.609999999999999</v>
      </c>
      <c r="H3" t="n">
        <v>875.6900000000001</v>
      </c>
      <c r="I3" t="n">
        <v>254.46</v>
      </c>
    </row>
    <row r="4">
      <c r="A4">
        <f>HYPERLINK("https://www.tradingview.com/chart/?symbol=NSE:LIQUIDPLUS","LIQUIDPLUS")</f>
        <v/>
      </c>
      <c r="B4" t="n">
        <v>1105.09</v>
      </c>
      <c r="C4" t="n">
        <v>2134524</v>
      </c>
      <c r="D4" t="n">
        <v>2053753</v>
      </c>
      <c r="E4" t="n">
        <v>96.22</v>
      </c>
      <c r="F4" t="n">
        <v>362439.8666666666</v>
      </c>
      <c r="G4" t="n">
        <v>5.67</v>
      </c>
      <c r="H4" t="n">
        <v>235.88</v>
      </c>
      <c r="I4" t="n">
        <v>226.96</v>
      </c>
    </row>
    <row r="5">
      <c r="A5">
        <f>HYPERLINK("https://www.tradingview.com/chart/?symbol=NSE:ELECTCAST","ELECTCAST")</f>
        <v/>
      </c>
      <c r="B5" t="n">
        <v>72.34999999999999</v>
      </c>
      <c r="C5" t="n">
        <v>19655083</v>
      </c>
      <c r="D5" t="n">
        <v>11307255</v>
      </c>
      <c r="E5" t="n">
        <v>57.53</v>
      </c>
      <c r="F5" t="n">
        <v>1002721.9</v>
      </c>
      <c r="G5" t="n">
        <v>11.28</v>
      </c>
      <c r="H5" t="n">
        <v>142.2</v>
      </c>
      <c r="I5" t="n">
        <v>81.81</v>
      </c>
    </row>
    <row r="6">
      <c r="A6">
        <f>HYPERLINK("https://www.tradingview.com/chart/?symbol=NSE:RSYSTEMS","RSYSTEMS")</f>
        <v/>
      </c>
      <c r="B6" t="n">
        <v>275.21</v>
      </c>
      <c r="C6" t="n">
        <v>61311130</v>
      </c>
      <c r="D6" t="n">
        <v>2302641</v>
      </c>
      <c r="E6" t="n">
        <v>3.76</v>
      </c>
      <c r="F6" t="n">
        <v>86158.60000000001</v>
      </c>
      <c r="G6" t="n">
        <v>26.73</v>
      </c>
      <c r="H6" t="n">
        <v>1687.34</v>
      </c>
      <c r="I6" t="n">
        <v>63.37</v>
      </c>
    </row>
    <row r="7">
      <c r="A7">
        <f>HYPERLINK("https://www.tradingview.com/chart/?symbol=NSE:FERMENTA","FERMENTA")</f>
        <v/>
      </c>
      <c r="B7" t="n">
        <v>479.3</v>
      </c>
      <c r="C7" t="n">
        <v>2216498</v>
      </c>
      <c r="D7" t="n">
        <v>1277632</v>
      </c>
      <c r="E7" t="n">
        <v>57.64</v>
      </c>
      <c r="F7" t="n">
        <v>48629.8</v>
      </c>
      <c r="G7" t="n">
        <v>26.27</v>
      </c>
      <c r="H7" t="n">
        <v>106.24</v>
      </c>
      <c r="I7" t="n">
        <v>61.24</v>
      </c>
    </row>
    <row r="8">
      <c r="A8">
        <f>HYPERLINK("https://www.tradingview.com/chart/?symbol=NSE:SUNFLAG","SUNFLAG")</f>
        <v/>
      </c>
      <c r="B8" t="n">
        <v>449.2</v>
      </c>
      <c r="C8" t="n">
        <v>4467850</v>
      </c>
      <c r="D8" t="n">
        <v>1287613</v>
      </c>
      <c r="E8" t="n">
        <v>28.82</v>
      </c>
      <c r="F8" t="n">
        <v>126732.2333333333</v>
      </c>
      <c r="G8" t="n">
        <v>10.16</v>
      </c>
      <c r="H8" t="n">
        <v>200.7</v>
      </c>
      <c r="I8" t="n">
        <v>57.84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2026-09-28T23:28:39Z</dcterms:created>
  <dcterms:modified xsi:type="dcterms:W3CDTF">2026-09-28T23:28:39Z</dcterms:modified>
</cp:coreProperties>
</file>