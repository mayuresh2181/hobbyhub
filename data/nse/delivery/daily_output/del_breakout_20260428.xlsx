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HYPERLINK("https://www.tradingview.com/chart/?symbol=NSE:COHANCE", "COHANCE")</f>
        <v/>
      </c>
      <c r="B2" t="n">
        <v>6452884</v>
      </c>
      <c r="C2" t="n">
        <v>895923.7</v>
      </c>
      <c r="D2" t="n">
        <v>7.2</v>
      </c>
    </row>
    <row r="3">
      <c r="A3">
        <f>HYPERLINK("https://www.tradingview.com/chart/?symbol=NSE:PIRAMALFIN", "PIRAMALFIN")</f>
        <v/>
      </c>
      <c r="B3" t="n">
        <v>1407498</v>
      </c>
      <c r="C3" t="n">
        <v>235242.7666666667</v>
      </c>
      <c r="D3" t="n">
        <v>5.98</v>
      </c>
    </row>
    <row r="4">
      <c r="A4">
        <f>HYPERLINK("https://www.tradingview.com/chart/?symbol=NSE:TATACHEM", "TATACHEM")</f>
        <v/>
      </c>
      <c r="B4" t="n">
        <v>3007590</v>
      </c>
      <c r="C4" t="n">
        <v>537472.1333333333</v>
      </c>
      <c r="D4" t="n">
        <v>5.6</v>
      </c>
    </row>
    <row r="5">
      <c r="A5">
        <f>HYPERLINK("https://www.tradingview.com/chart/?symbol=NSE:RRKABEL", "RRKABEL")</f>
        <v/>
      </c>
      <c r="B5" t="n">
        <v>559558</v>
      </c>
      <c r="C5" t="n">
        <v>109436.5666666667</v>
      </c>
      <c r="D5" t="n">
        <v>5.11</v>
      </c>
    </row>
    <row r="6">
      <c r="A6">
        <f>HYPERLINK("https://www.tradingview.com/chart/?symbol=NSE:RKFORGE", "RKFORGE")</f>
        <v/>
      </c>
      <c r="B6" t="n">
        <v>1709056</v>
      </c>
      <c r="C6" t="n">
        <v>341566.0666666667</v>
      </c>
      <c r="D6" t="n">
        <v>5</v>
      </c>
    </row>
    <row r="7">
      <c r="A7">
        <f>HYPERLINK("https://www.tradingview.com/chart/?symbol=NSE:THELEELA", "THELEELA")</f>
        <v/>
      </c>
      <c r="B7" t="n">
        <v>963135</v>
      </c>
      <c r="C7" t="n">
        <v>196252.8</v>
      </c>
      <c r="D7" t="n">
        <v>4.91</v>
      </c>
    </row>
    <row r="8">
      <c r="A8">
        <f>HYPERLINK("https://www.tradingview.com/chart/?symbol=NSE:JAINREC", "JAINREC")</f>
        <v/>
      </c>
      <c r="B8" t="n">
        <v>2297990</v>
      </c>
      <c r="C8" t="n">
        <v>555378.6666666666</v>
      </c>
      <c r="D8" t="n">
        <v>4.14</v>
      </c>
    </row>
    <row r="9">
      <c r="A9">
        <f>HYPERLINK("https://www.tradingview.com/chart/?symbol=NSE:SUNPHARMA", "SUNPHARMA")</f>
        <v/>
      </c>
      <c r="B9" t="n">
        <v>11893470</v>
      </c>
      <c r="C9" t="n">
        <v>2889105.5</v>
      </c>
      <c r="D9" t="n">
        <v>4.12</v>
      </c>
    </row>
    <row r="10">
      <c r="A10">
        <f>HYPERLINK("https://www.tradingview.com/chart/?symbol=NSE:SBICARD", "SBICARD")</f>
        <v/>
      </c>
      <c r="B10" t="n">
        <v>2685348</v>
      </c>
      <c r="C10" t="n">
        <v>726177.2</v>
      </c>
      <c r="D10" t="n">
        <v>3.7</v>
      </c>
    </row>
    <row r="11">
      <c r="A11">
        <f>HYPERLINK("https://www.tradingview.com/chart/?symbol=NSE:GABRIEL", "GABRIEL")</f>
        <v/>
      </c>
      <c r="B11" t="n">
        <v>543182</v>
      </c>
      <c r="C11" t="n">
        <v>163411.2333333333</v>
      </c>
      <c r="D11" t="n">
        <v>3.32</v>
      </c>
    </row>
    <row r="12">
      <c r="A12">
        <f>HYPERLINK("https://www.tradingview.com/chart/?symbol=NSE:CROMPTON", "CROMPTON")</f>
        <v/>
      </c>
      <c r="B12" t="n">
        <v>4960117</v>
      </c>
      <c r="C12" t="n">
        <v>1491811.766666667</v>
      </c>
      <c r="D12" t="n">
        <v>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2026-04-29T20:02:26Z</dcterms:created>
  <dcterms:modified xsi:type="dcterms:W3CDTF">2026-04-29T20:02:26Z</dcterms:modified>
</cp:coreProperties>
</file>