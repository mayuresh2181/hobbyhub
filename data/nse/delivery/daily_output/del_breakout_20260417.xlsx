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DELIV_QTY</t>
        </is>
      </c>
      <c r="C1" s="1" t="inlineStr">
        <is>
          <t>AVG_30_DELIV_QTY</t>
        </is>
      </c>
      <c r="D1" s="1" t="inlineStr">
        <is>
          <t>RATIO</t>
        </is>
      </c>
    </row>
    <row r="2">
      <c r="A2">
        <f>HYPERLINK("https://www.tradingview.com/chart/?symbol=NSE:NAVA", "NAVA")</f>
        <v/>
      </c>
      <c r="B2" t="n">
        <v>1537699</v>
      </c>
      <c r="C2" t="n">
        <v>200076.9333333333</v>
      </c>
      <c r="D2" t="n">
        <v>7.69</v>
      </c>
    </row>
    <row r="3">
      <c r="A3">
        <f>HYPERLINK("https://www.tradingview.com/chart/?symbol=NSE:TRITURBINE", "TRITURBINE")</f>
        <v/>
      </c>
      <c r="B3" t="n">
        <v>2503118</v>
      </c>
      <c r="C3" t="n">
        <v>355144.6</v>
      </c>
      <c r="D3" t="n">
        <v>7.05</v>
      </c>
    </row>
    <row r="4">
      <c r="A4">
        <f>HYPERLINK("https://www.tradingview.com/chart/?symbol=NSE:GSPL", "GSPL")</f>
        <v/>
      </c>
      <c r="B4" t="n">
        <v>3709767</v>
      </c>
      <c r="C4" t="n">
        <v>574228.0333333333</v>
      </c>
      <c r="D4" t="n">
        <v>6.46</v>
      </c>
    </row>
    <row r="5">
      <c r="A5">
        <f>HYPERLINK("https://www.tradingview.com/chart/?symbol=NSE:BALKRISIND", "BALKRISIND")</f>
        <v/>
      </c>
      <c r="B5" t="n">
        <v>650214</v>
      </c>
      <c r="C5" t="n">
        <v>108256.5</v>
      </c>
      <c r="D5" t="n">
        <v>6.01</v>
      </c>
    </row>
    <row r="6">
      <c r="A6">
        <f>HYPERLINK("https://www.tradingview.com/chart/?symbol=NSE:MMTC", "MMTC")</f>
        <v/>
      </c>
      <c r="B6" t="n">
        <v>6619333</v>
      </c>
      <c r="C6" t="n">
        <v>1117089.666666667</v>
      </c>
      <c r="D6" t="n">
        <v>5.93</v>
      </c>
    </row>
    <row r="7">
      <c r="A7">
        <f>HYPERLINK("https://www.tradingview.com/chart/?symbol=NSE:SCI", "SCI")</f>
        <v/>
      </c>
      <c r="B7" t="n">
        <v>7444122</v>
      </c>
      <c r="C7" t="n">
        <v>1496525.8</v>
      </c>
      <c r="D7" t="n">
        <v>4.97</v>
      </c>
    </row>
    <row r="8">
      <c r="A8">
        <f>HYPERLINK("https://www.tradingview.com/chart/?symbol=NSE:PREMIERENE", "PREMIERENE")</f>
        <v/>
      </c>
      <c r="B8" t="n">
        <v>4650294</v>
      </c>
      <c r="C8" t="n">
        <v>983727.4666666667</v>
      </c>
      <c r="D8" t="n">
        <v>4.73</v>
      </c>
    </row>
    <row r="9">
      <c r="A9">
        <f>HYPERLINK("https://www.tradingview.com/chart/?symbol=NSE:CARBORUNIV", "CARBORUNIV")</f>
        <v/>
      </c>
      <c r="B9" t="n">
        <v>576399</v>
      </c>
      <c r="C9" t="n">
        <v>127234.1333333333</v>
      </c>
      <c r="D9" t="n">
        <v>4.53</v>
      </c>
    </row>
    <row r="10">
      <c r="A10">
        <f>HYPERLINK("https://www.tradingview.com/chart/?symbol=NSE:INOXWIND", "INOXWIND")</f>
        <v/>
      </c>
      <c r="B10" t="n">
        <v>25223348</v>
      </c>
      <c r="C10" t="n">
        <v>5571306.066666666</v>
      </c>
      <c r="D10" t="n">
        <v>4.53</v>
      </c>
    </row>
    <row r="11">
      <c r="A11">
        <f>HYPERLINK("https://www.tradingview.com/chart/?symbol=NSE:SUZLON", "SUZLON")</f>
        <v/>
      </c>
      <c r="B11" t="n">
        <v>141727612</v>
      </c>
      <c r="C11" t="n">
        <v>33149570.83333333</v>
      </c>
      <c r="D11" t="n">
        <v>4.28</v>
      </c>
    </row>
    <row r="12">
      <c r="A12">
        <f>HYPERLINK("https://www.tradingview.com/chart/?symbol=NSE:ENGINERSIN", "ENGINERSIN")</f>
        <v/>
      </c>
      <c r="B12" t="n">
        <v>5780644</v>
      </c>
      <c r="C12" t="n">
        <v>1482947.933333333</v>
      </c>
      <c r="D12" t="n">
        <v>3.9</v>
      </c>
    </row>
    <row r="13">
      <c r="A13">
        <f>HYPERLINK("https://www.tradingview.com/chart/?symbol=NSE:ANGELONE", "ANGELONE")</f>
        <v/>
      </c>
      <c r="B13" t="n">
        <v>14136461</v>
      </c>
      <c r="C13" t="n">
        <v>3679911.133333333</v>
      </c>
      <c r="D13" t="n">
        <v>3.84</v>
      </c>
    </row>
    <row r="14">
      <c r="A14">
        <f>HYPERLINK("https://www.tradingview.com/chart/?symbol=NSE:GALLANTT", "GALLANTT")</f>
        <v/>
      </c>
      <c r="B14" t="n">
        <v>1239860</v>
      </c>
      <c r="C14" t="n">
        <v>328126.6333333334</v>
      </c>
      <c r="D14" t="n">
        <v>3.78</v>
      </c>
    </row>
    <row r="15">
      <c r="A15">
        <f>HYPERLINK("https://www.tradingview.com/chart/?symbol=NSE:NHPC", "NHPC")</f>
        <v/>
      </c>
      <c r="B15" t="n">
        <v>29890678</v>
      </c>
      <c r="C15" t="n">
        <v>8006900.032258064</v>
      </c>
      <c r="D15" t="n">
        <v>3.73</v>
      </c>
    </row>
    <row r="16">
      <c r="A16">
        <f>HYPERLINK("https://www.tradingview.com/chart/?symbol=NSE:SUPREMEIND", "SUPREMEIND")</f>
        <v/>
      </c>
      <c r="B16" t="n">
        <v>654894</v>
      </c>
      <c r="C16" t="n">
        <v>182008.1333333333</v>
      </c>
      <c r="D16" t="n">
        <v>3.6</v>
      </c>
    </row>
    <row r="17">
      <c r="A17">
        <f>HYPERLINK("https://www.tradingview.com/chart/?symbol=NSE:JIOFIN", "JIOFIN")</f>
        <v/>
      </c>
      <c r="B17" t="n">
        <v>32091885</v>
      </c>
      <c r="C17" t="n">
        <v>8980410.233333332</v>
      </c>
      <c r="D17" t="n">
        <v>3.57</v>
      </c>
    </row>
    <row r="18">
      <c r="A18">
        <f>HYPERLINK("https://www.tradingview.com/chart/?symbol=NSE:WIPRO", "WIPRO")</f>
        <v/>
      </c>
      <c r="B18" t="n">
        <v>38887187</v>
      </c>
      <c r="C18" t="n">
        <v>11040577.56666667</v>
      </c>
      <c r="D18" t="n">
        <v>3.52</v>
      </c>
    </row>
    <row r="19">
      <c r="A19">
        <f>HYPERLINK("https://www.tradingview.com/chart/?symbol=NSE:WAAREEENER", "WAAREEENER")</f>
        <v/>
      </c>
      <c r="B19" t="n">
        <v>1930884</v>
      </c>
      <c r="C19" t="n">
        <v>569746.6666666666</v>
      </c>
      <c r="D19" t="n">
        <v>3.39</v>
      </c>
    </row>
    <row r="20">
      <c r="A20">
        <f>HYPERLINK("https://www.tradingview.com/chart/?symbol=NSE:NTPCGREEN", "NTPCGREEN")</f>
        <v/>
      </c>
      <c r="B20" t="n">
        <v>18262754</v>
      </c>
      <c r="C20" t="n">
        <v>5570811.533333333</v>
      </c>
      <c r="D20" t="n">
        <v>3.28</v>
      </c>
    </row>
    <row r="21">
      <c r="A21">
        <f>HYPERLINK("https://www.tradingview.com/chart/?symbol=NSE:RAMCOCEM", "RAMCOCEM")</f>
        <v/>
      </c>
      <c r="B21" t="n">
        <v>437753</v>
      </c>
      <c r="C21" t="n">
        <v>134693.6</v>
      </c>
      <c r="D21" t="n">
        <v>3.25</v>
      </c>
    </row>
    <row r="22">
      <c r="A22">
        <f>HYPERLINK("https://www.tradingview.com/chart/?symbol=NSE:GODFRYPHLP", "GODFRYPHLP")</f>
        <v/>
      </c>
      <c r="B22" t="n">
        <v>696865</v>
      </c>
      <c r="C22" t="n">
        <v>216822.0333333333</v>
      </c>
      <c r="D22" t="n">
        <v>3.21</v>
      </c>
    </row>
    <row r="23">
      <c r="A23">
        <f>HYPERLINK("https://www.tradingview.com/chart/?symbol=NSE:CPPLUS", "CPPLUS")</f>
        <v/>
      </c>
      <c r="B23" t="n">
        <v>546311</v>
      </c>
      <c r="C23" t="n">
        <v>170378.2666666667</v>
      </c>
      <c r="D23" t="n">
        <v>3.21</v>
      </c>
    </row>
    <row r="24">
      <c r="A24">
        <f>HYPERLINK("https://www.tradingview.com/chart/?symbol=NSE:IRCON", "IRCON")</f>
        <v/>
      </c>
      <c r="B24" t="n">
        <v>4500384</v>
      </c>
      <c r="C24" t="n">
        <v>1434616.866666667</v>
      </c>
      <c r="D24" t="n">
        <v>3.14</v>
      </c>
    </row>
    <row r="25">
      <c r="A25">
        <f>HYPERLINK("https://www.tradingview.com/chart/?symbol=NSE:PAGEIND", "PAGEIND")</f>
        <v/>
      </c>
      <c r="B25" t="n">
        <v>41622</v>
      </c>
      <c r="C25" t="n">
        <v>13694.5</v>
      </c>
      <c r="D25" t="n">
        <v>3.04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2026-04-18T19:27:31Z</dcterms:created>
  <dcterms:modified xsi:type="dcterms:W3CDTF">2026-04-18T19:27:31Z</dcterms:modified>
</cp:coreProperties>
</file>