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HYPERLINK("https://www.tradingview.com/chart/?symbol=NSE:V2RETAIL","V2RETAIL")</f>
        <v/>
      </c>
      <c r="B2" t="n">
        <v>169.28</v>
      </c>
      <c r="C2" t="n">
        <v>18473874</v>
      </c>
      <c r="D2" t="n">
        <v>5691886</v>
      </c>
      <c r="E2" t="n">
        <v>30.81</v>
      </c>
      <c r="F2" t="n">
        <v>537352.4827586206</v>
      </c>
      <c r="G2" t="n">
        <v>10.59</v>
      </c>
      <c r="H2" t="n">
        <v>312.73</v>
      </c>
      <c r="I2" t="n">
        <v>96.34999999999999</v>
      </c>
    </row>
    <row r="3">
      <c r="A3">
        <f>HYPERLINK("https://www.tradingview.com/chart/?symbol=NSE:DELTACORP","DELTACORP")</f>
        <v/>
      </c>
      <c r="B3" t="n">
        <v>85.43000000000001</v>
      </c>
      <c r="C3" t="n">
        <v>105531303</v>
      </c>
      <c r="D3" t="n">
        <v>9680535</v>
      </c>
      <c r="E3" t="n">
        <v>9.17</v>
      </c>
      <c r="F3" t="n">
        <v>1833271.275862069</v>
      </c>
      <c r="G3" t="n">
        <v>5.28</v>
      </c>
      <c r="H3" t="n">
        <v>901.55</v>
      </c>
      <c r="I3" t="n">
        <v>82.7</v>
      </c>
    </row>
    <row r="4">
      <c r="A4">
        <f>HYPERLINK("https://www.tradingview.com/chart/?symbol=NSE:SMCGLOBAL","SMCGLOBAL")</f>
        <v/>
      </c>
      <c r="B4" t="n">
        <v>114.5</v>
      </c>
      <c r="C4" t="n">
        <v>85008573</v>
      </c>
      <c r="D4" t="n">
        <v>5998624</v>
      </c>
      <c r="E4" t="n">
        <v>7.06</v>
      </c>
      <c r="F4" t="n">
        <v>863249.275862069</v>
      </c>
      <c r="G4" t="n">
        <v>6.95</v>
      </c>
      <c r="H4" t="n">
        <v>973.35</v>
      </c>
      <c r="I4" t="n">
        <v>68.68000000000001</v>
      </c>
    </row>
    <row r="5">
      <c r="A5">
        <f>HYPERLINK("https://www.tradingview.com/chart/?symbol=NSE:BHARTIHEXA","BHARTIHEXA")</f>
        <v/>
      </c>
      <c r="B5" t="n">
        <v>1383.1</v>
      </c>
      <c r="C5" t="n">
        <v>528019</v>
      </c>
      <c r="D5" t="n">
        <v>480888</v>
      </c>
      <c r="E5" t="n">
        <v>91.06999999999999</v>
      </c>
      <c r="F5" t="n">
        <v>50109.48275862069</v>
      </c>
      <c r="G5" t="n">
        <v>9.6</v>
      </c>
      <c r="H5" t="n">
        <v>73.03</v>
      </c>
      <c r="I5" t="n">
        <v>66.51000000000001</v>
      </c>
    </row>
    <row r="6">
      <c r="A6">
        <f>HYPERLINK("https://www.tradingview.com/chart/?symbol=NSE:SGFIN","SGFIN")</f>
        <v/>
      </c>
      <c r="B6" t="n">
        <v>677.95</v>
      </c>
      <c r="C6" t="n">
        <v>3245313</v>
      </c>
      <c r="D6" t="n">
        <v>851906</v>
      </c>
      <c r="E6" t="n">
        <v>26.25</v>
      </c>
      <c r="F6" t="n">
        <v>110577.0344827586</v>
      </c>
      <c r="G6" t="n">
        <v>7.7</v>
      </c>
      <c r="H6" t="n">
        <v>220.02</v>
      </c>
      <c r="I6" t="n">
        <v>57.75</v>
      </c>
    </row>
    <row r="7">
      <c r="A7">
        <f>HYPERLINK("https://www.tradingview.com/chart/?symbol=NSE:DPABHUSHAN","DPABHUSHAN")</f>
        <v/>
      </c>
      <c r="B7" t="n">
        <v>2130.5</v>
      </c>
      <c r="C7" t="n">
        <v>960721</v>
      </c>
      <c r="D7" t="n">
        <v>237352</v>
      </c>
      <c r="E7" t="n">
        <v>24.71</v>
      </c>
      <c r="F7" t="n">
        <v>28691.03448275862</v>
      </c>
      <c r="G7" t="n">
        <v>8.27</v>
      </c>
      <c r="H7" t="n">
        <v>204.68</v>
      </c>
      <c r="I7" t="n">
        <v>50.57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2026-10-06T00:17:45Z</dcterms:created>
  <dcterms:modified xsi:type="dcterms:W3CDTF">2026-10-06T00:17:45Z</dcterms:modified>
</cp:coreProperties>
</file>