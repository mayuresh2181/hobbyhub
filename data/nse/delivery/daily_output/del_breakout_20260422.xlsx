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HYPERLINK("https://www.tradingview.com/chart/?symbol=NSE:TATAELXSI", "TATAELXSI")</f>
        <v/>
      </c>
      <c r="B2" t="n">
        <v>656162</v>
      </c>
      <c r="C2" t="n">
        <v>100401.4333333333</v>
      </c>
      <c r="D2" t="n">
        <v>6.54</v>
      </c>
    </row>
    <row r="3">
      <c r="A3">
        <f>HYPERLINK("https://www.tradingview.com/chart/?symbol=NSE:ARE&amp;M", "ARE&amp;M")</f>
        <v/>
      </c>
      <c r="B3" t="n">
        <v>2214941</v>
      </c>
      <c r="C3" t="n">
        <v>356440.8666666666</v>
      </c>
      <c r="D3" t="n">
        <v>6.21</v>
      </c>
    </row>
    <row r="4">
      <c r="A4">
        <f>HYPERLINK("https://www.tradingview.com/chart/?symbol=NSE:HCLTECH", "HCLTECH")</f>
        <v/>
      </c>
      <c r="B4" t="n">
        <v>14960919</v>
      </c>
      <c r="C4" t="n">
        <v>2568897.666666667</v>
      </c>
      <c r="D4" t="n">
        <v>5.82</v>
      </c>
    </row>
    <row r="5">
      <c r="A5">
        <f>HYPERLINK("https://www.tradingview.com/chart/?symbol=NSE:ABBOTINDIA", "ABBOTINDIA")</f>
        <v/>
      </c>
      <c r="B5" t="n">
        <v>37132</v>
      </c>
      <c r="C5" t="n">
        <v>6700.233333333334</v>
      </c>
      <c r="D5" t="n">
        <v>5.54</v>
      </c>
    </row>
    <row r="6">
      <c r="A6">
        <f>HYPERLINK("https://www.tradingview.com/chart/?symbol=NSE:WELCORP", "WELCORP")</f>
        <v/>
      </c>
      <c r="B6" t="n">
        <v>1937073</v>
      </c>
      <c r="C6" t="n">
        <v>355748.6666666667</v>
      </c>
      <c r="D6" t="n">
        <v>5.45</v>
      </c>
    </row>
    <row r="7">
      <c r="A7">
        <f>HYPERLINK("https://www.tradingview.com/chart/?symbol=NSE:FSL", "FSL")</f>
        <v/>
      </c>
      <c r="B7" t="n">
        <v>3913475</v>
      </c>
      <c r="C7" t="n">
        <v>764975.1333333333</v>
      </c>
      <c r="D7" t="n">
        <v>5.12</v>
      </c>
    </row>
    <row r="8">
      <c r="A8">
        <f>HYPERLINK("https://www.tradingview.com/chart/?symbol=NSE:3MINDIA", "3MINDIA")</f>
        <v/>
      </c>
      <c r="B8" t="n">
        <v>13436</v>
      </c>
      <c r="C8" t="n">
        <v>2977.466666666667</v>
      </c>
      <c r="D8" t="n">
        <v>4.51</v>
      </c>
    </row>
    <row r="9">
      <c r="A9">
        <f>HYPERLINK("https://www.tradingview.com/chart/?symbol=NSE:TARIL", "TARIL")</f>
        <v/>
      </c>
      <c r="B9" t="n">
        <v>6758032</v>
      </c>
      <c r="C9" t="n">
        <v>1551284.4</v>
      </c>
      <c r="D9" t="n">
        <v>4.36</v>
      </c>
    </row>
    <row r="10">
      <c r="A10">
        <f>HYPERLINK("https://www.tradingview.com/chart/?symbol=NSE:ACE", "ACE")</f>
        <v/>
      </c>
      <c r="B10" t="n">
        <v>632134</v>
      </c>
      <c r="C10" t="n">
        <v>153600.3333333333</v>
      </c>
      <c r="D10" t="n">
        <v>4.12</v>
      </c>
    </row>
    <row r="11">
      <c r="A11">
        <f>HYPERLINK("https://www.tradingview.com/chart/?symbol=NSE:JUBLINGREA", "JUBLINGREA")</f>
        <v/>
      </c>
      <c r="B11" t="n">
        <v>451125</v>
      </c>
      <c r="C11" t="n">
        <v>118913.5333333333</v>
      </c>
      <c r="D11" t="n">
        <v>3.79</v>
      </c>
    </row>
    <row r="12">
      <c r="A12">
        <f>HYPERLINK("https://www.tradingview.com/chart/?symbol=NSE:SPLPETRO", "SPLPETRO")</f>
        <v/>
      </c>
      <c r="B12" t="n">
        <v>216423</v>
      </c>
      <c r="C12" t="n">
        <v>59256.6</v>
      </c>
      <c r="D12" t="n">
        <v>3.65</v>
      </c>
    </row>
    <row r="13">
      <c r="A13">
        <f>HYPERLINK("https://www.tradingview.com/chart/?symbol=NSE:IREDA", "IREDA")</f>
        <v/>
      </c>
      <c r="B13" t="n">
        <v>12485219</v>
      </c>
      <c r="C13" t="n">
        <v>3524233.3</v>
      </c>
      <c r="D13" t="n">
        <v>3.54</v>
      </c>
    </row>
    <row r="14">
      <c r="A14">
        <f>HYPERLINK("https://www.tradingview.com/chart/?symbol=NSE:360ONE", "360ONE")</f>
        <v/>
      </c>
      <c r="B14" t="n">
        <v>2433064</v>
      </c>
      <c r="C14" t="n">
        <v>705192.4666666667</v>
      </c>
      <c r="D14" t="n">
        <v>3.45</v>
      </c>
    </row>
    <row r="15">
      <c r="A15">
        <f>HYPERLINK("https://www.tradingview.com/chart/?symbol=NSE:ITI", "ITI")</f>
        <v/>
      </c>
      <c r="B15" t="n">
        <v>1670145</v>
      </c>
      <c r="C15" t="n">
        <v>512866.7</v>
      </c>
      <c r="D15" t="n">
        <v>3.26</v>
      </c>
    </row>
    <row r="16">
      <c r="A16">
        <f>HYPERLINK("https://www.tradingview.com/chart/?symbol=NSE:SBILIFE", "SBILIFE")</f>
        <v/>
      </c>
      <c r="B16" t="n">
        <v>2742504</v>
      </c>
      <c r="C16" t="n">
        <v>847358.1666666666</v>
      </c>
      <c r="D16" t="n">
        <v>3.24</v>
      </c>
    </row>
    <row r="17">
      <c r="A17">
        <f>HYPERLINK("https://www.tradingview.com/chart/?symbol=NSE:TECHM", "TECHM")</f>
        <v/>
      </c>
      <c r="B17" t="n">
        <v>4038798</v>
      </c>
      <c r="C17" t="n">
        <v>1258178.366666667</v>
      </c>
      <c r="D17" t="n">
        <v>3.21</v>
      </c>
    </row>
    <row r="18">
      <c r="A18">
        <f>HYPERLINK("https://www.tradingview.com/chart/?symbol=NSE:BEML", "BEML")</f>
        <v/>
      </c>
      <c r="B18" t="n">
        <v>378163</v>
      </c>
      <c r="C18" t="n">
        <v>119090.8333333333</v>
      </c>
      <c r="D18" t="n">
        <v>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2026-04-23T19:53:10Z</dcterms:created>
  <dcterms:modified xsi:type="dcterms:W3CDTF">2026-04-23T19:53:10Z</dcterms:modified>
</cp:coreProperties>
</file>