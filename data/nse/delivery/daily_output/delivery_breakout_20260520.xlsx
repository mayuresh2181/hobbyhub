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22" customWidth="1" min="3" max="3"/>
    <col width="19" customWidth="1" min="4" max="4"/>
    <col width="14" customWidth="1" min="5" max="5"/>
    <col width="17" customWidth="1" min="6" max="6"/>
    <col width="22" customWidth="1" min="7" max="7"/>
    <col width="17" customWidth="1" min="8" max="8"/>
    <col width="16" customWidth="1" min="9" max="9"/>
    <col width="17" customWidth="1" min="10" max="10"/>
  </cols>
  <sheetData>
    <row r="1">
      <c r="A1" s="1" t="inlineStr">
        <is>
          <t>SYMBOL</t>
        </is>
      </c>
      <c r="B1" s="1" t="inlineStr">
        <is>
          <t>DELIV_QTY</t>
        </is>
      </c>
      <c r="C1" s="1" t="inlineStr">
        <is>
          <t>AVG_30_DELIV_QTY</t>
        </is>
      </c>
      <c r="D1" s="1" t="inlineStr">
        <is>
          <t>DELIVERY_RATIO</t>
        </is>
      </c>
      <c r="E1" s="1" t="inlineStr">
        <is>
          <t>DELIV_PER</t>
        </is>
      </c>
      <c r="F1" s="1" t="inlineStr">
        <is>
          <t>TTL_TRD_QNTY</t>
        </is>
      </c>
      <c r="G1" s="1" t="inlineStr">
        <is>
          <t>AVG_30_VOLUME</t>
        </is>
      </c>
      <c r="H1" s="1" t="inlineStr">
        <is>
          <t>VOLUME_RATIO</t>
        </is>
      </c>
      <c r="I1" s="1" t="inlineStr">
        <is>
          <t>CLOSE_PRICE</t>
        </is>
      </c>
      <c r="J1" s="1" t="inlineStr">
        <is>
          <t>PRICE_CHANGE</t>
        </is>
      </c>
    </row>
    <row r="2">
      <c r="A2">
        <f>HYPERLINK("https://www.tradingview.com/chart/?symbol=NSE:TIMKEN","TIMKEN")</f>
        <v/>
      </c>
      <c r="B2" t="n">
        <v>430645</v>
      </c>
      <c r="C2" t="n">
        <v>37433.93103448276</v>
      </c>
      <c r="D2" t="n">
        <v>11.5</v>
      </c>
      <c r="E2" t="n">
        <v>67.95</v>
      </c>
      <c r="F2" t="n">
        <v>633794</v>
      </c>
      <c r="G2" t="n">
        <v>64450.62068965517</v>
      </c>
      <c r="H2" t="n">
        <v>9.83</v>
      </c>
      <c r="I2" t="n">
        <v>3656.2</v>
      </c>
      <c r="J2" t="n">
        <v>3.34</v>
      </c>
    </row>
    <row r="3">
      <c r="A3">
        <f>HYPERLINK("https://www.tradingview.com/chart/?symbol=NSE:AIIL","AIIL")</f>
        <v/>
      </c>
      <c r="B3" t="n">
        <v>662179</v>
      </c>
      <c r="C3" t="n">
        <v>131504.6551724138</v>
      </c>
      <c r="D3" t="n">
        <v>5.04</v>
      </c>
      <c r="E3" t="n">
        <v>70.69</v>
      </c>
      <c r="F3" t="n">
        <v>936735</v>
      </c>
      <c r="G3" t="n">
        <v>321413.1034482759</v>
      </c>
      <c r="H3" t="n">
        <v>2.91</v>
      </c>
      <c r="I3" t="n">
        <v>507.85</v>
      </c>
      <c r="J3" t="n">
        <v>2.24</v>
      </c>
    </row>
    <row r="4">
      <c r="A4">
        <f>HYPERLINK("https://www.tradingview.com/chart/?symbol=NSE:HONAUT","HONAUT")</f>
        <v/>
      </c>
      <c r="B4" t="n">
        <v>8597</v>
      </c>
      <c r="C4" t="n">
        <v>2761.620689655173</v>
      </c>
      <c r="D4" t="n">
        <v>3.11</v>
      </c>
      <c r="E4" t="n">
        <v>55.22</v>
      </c>
      <c r="F4" t="n">
        <v>15569</v>
      </c>
      <c r="G4" t="n">
        <v>5665.517241379311</v>
      </c>
      <c r="H4" t="n">
        <v>2.75</v>
      </c>
      <c r="I4" t="n">
        <v>30180</v>
      </c>
      <c r="J4" t="n">
        <v>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2026-05-21T04:47:59Z</dcterms:created>
  <dcterms:modified xsi:type="dcterms:W3CDTF">2026-05-21T04:47:59Z</dcterms:modified>
</cp:coreProperties>
</file>