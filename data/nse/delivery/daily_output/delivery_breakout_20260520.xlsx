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HYPERLINK("https://www.tradingview.com/chart/?symbol=NSE:TIMKEN","TIMKEN")</f>
        <v/>
      </c>
      <c r="B2" t="n">
        <v>430645</v>
      </c>
      <c r="C2" t="n">
        <v>37433.93103448276</v>
      </c>
      <c r="D2" t="n">
        <v>11.5</v>
      </c>
    </row>
    <row r="3">
      <c r="A3">
        <f>HYPERLINK("https://www.tradingview.com/chart/?symbol=NSE:GPIL","GPIL")</f>
        <v/>
      </c>
      <c r="B3" t="n">
        <v>8683243</v>
      </c>
      <c r="C3" t="n">
        <v>1213165.620689655</v>
      </c>
      <c r="D3" t="n">
        <v>7.16</v>
      </c>
    </row>
    <row r="4">
      <c r="A4">
        <f>HYPERLINK("https://www.tradingview.com/chart/?symbol=NSE:ENRIN","ENRIN")</f>
        <v/>
      </c>
      <c r="B4" t="n">
        <v>1467156</v>
      </c>
      <c r="C4" t="n">
        <v>228204</v>
      </c>
      <c r="D4" t="n">
        <v>6.43</v>
      </c>
    </row>
    <row r="5">
      <c r="A5">
        <f>HYPERLINK("https://www.tradingview.com/chart/?symbol=NSE:ZYDUSLIFE","ZYDUSLIFE")</f>
        <v/>
      </c>
      <c r="B5" t="n">
        <v>2612328</v>
      </c>
      <c r="C5" t="n">
        <v>430420.5517241379</v>
      </c>
      <c r="D5" t="n">
        <v>6.07</v>
      </c>
    </row>
    <row r="6">
      <c r="A6">
        <f>HYPERLINK("https://www.tradingview.com/chart/?symbol=NSE:ANTHEM","ANTHEM")</f>
        <v/>
      </c>
      <c r="B6" t="n">
        <v>1008949</v>
      </c>
      <c r="C6" t="n">
        <v>168324.9655172414</v>
      </c>
      <c r="D6" t="n">
        <v>5.99</v>
      </c>
    </row>
    <row r="7">
      <c r="A7">
        <f>HYPERLINK("https://www.tradingview.com/chart/?symbol=NSE:PIIND","PIIND")</f>
        <v/>
      </c>
      <c r="B7" t="n">
        <v>730475</v>
      </c>
      <c r="C7" t="n">
        <v>127434.8965517241</v>
      </c>
      <c r="D7" t="n">
        <v>5.73</v>
      </c>
    </row>
    <row r="8">
      <c r="A8">
        <f>HYPERLINK("https://www.tradingview.com/chart/?symbol=NSE:BLS","BLS")</f>
        <v/>
      </c>
      <c r="B8" t="n">
        <v>2329786</v>
      </c>
      <c r="C8" t="n">
        <v>447989.8620689655</v>
      </c>
      <c r="D8" t="n">
        <v>5.2</v>
      </c>
    </row>
    <row r="9">
      <c r="A9">
        <f>HYPERLINK("https://www.tradingview.com/chart/?symbol=NSE:ERIS","ERIS")</f>
        <v/>
      </c>
      <c r="B9" t="n">
        <v>357724</v>
      </c>
      <c r="C9" t="n">
        <v>68958.89655172414</v>
      </c>
      <c r="D9" t="n">
        <v>5.19</v>
      </c>
    </row>
    <row r="10">
      <c r="A10">
        <f>HYPERLINK("https://www.tradingview.com/chart/?symbol=NSE:AIIL","AIIL")</f>
        <v/>
      </c>
      <c r="B10" t="n">
        <v>662179</v>
      </c>
      <c r="C10" t="n">
        <v>131504.6551724138</v>
      </c>
      <c r="D10" t="n">
        <v>5.04</v>
      </c>
    </row>
    <row r="11">
      <c r="A11">
        <f>HYPERLINK("https://www.tradingview.com/chart/?symbol=NSE:MAPMYINDIA","MAPMYINDIA")</f>
        <v/>
      </c>
      <c r="B11" t="n">
        <v>316691</v>
      </c>
      <c r="C11" t="n">
        <v>72533.6551724138</v>
      </c>
      <c r="D11" t="n">
        <v>4.37</v>
      </c>
    </row>
    <row r="12">
      <c r="A12">
        <f>HYPERLINK("https://www.tradingview.com/chart/?symbol=NSE:CGCL","CGCL")</f>
        <v/>
      </c>
      <c r="B12" t="n">
        <v>3999407</v>
      </c>
      <c r="C12" t="n">
        <v>914938.3793103448</v>
      </c>
      <c r="D12" t="n">
        <v>4.37</v>
      </c>
    </row>
    <row r="13">
      <c r="A13">
        <f>HYPERLINK("https://www.tradingview.com/chart/?symbol=NSE:GMRAIRPORT","GMRAIRPORT")</f>
        <v/>
      </c>
      <c r="B13" t="n">
        <v>28214134</v>
      </c>
      <c r="C13" t="n">
        <v>7008074.551724138</v>
      </c>
      <c r="D13" t="n">
        <v>4.03</v>
      </c>
    </row>
    <row r="14">
      <c r="A14">
        <f>HYPERLINK("https://www.tradingview.com/chart/?symbol=NSE:MANKIND","MANKIND")</f>
        <v/>
      </c>
      <c r="B14" t="n">
        <v>1061305</v>
      </c>
      <c r="C14" t="n">
        <v>269747.8620689655</v>
      </c>
      <c r="D14" t="n">
        <v>3.93</v>
      </c>
    </row>
    <row r="15">
      <c r="A15">
        <f>HYPERLINK("https://www.tradingview.com/chart/?symbol=NSE:DIVISLAB","DIVISLAB")</f>
        <v/>
      </c>
      <c r="B15" t="n">
        <v>605095</v>
      </c>
      <c r="C15" t="n">
        <v>161100</v>
      </c>
      <c r="D15" t="n">
        <v>3.76</v>
      </c>
    </row>
    <row r="16">
      <c r="A16">
        <f>HYPERLINK("https://www.tradingview.com/chart/?symbol=NSE:HONAUT","HONAUT")</f>
        <v/>
      </c>
      <c r="B16" t="n">
        <v>8597</v>
      </c>
      <c r="C16" t="n">
        <v>2761.620689655173</v>
      </c>
      <c r="D16" t="n">
        <v>3.11</v>
      </c>
    </row>
    <row r="17">
      <c r="A17">
        <f>HYPERLINK("https://www.tradingview.com/chart/?symbol=NSE:ABCAPITAL","ABCAPITAL")</f>
        <v/>
      </c>
      <c r="B17" t="n">
        <v>6235154</v>
      </c>
      <c r="C17" t="n">
        <v>2053500.413793104</v>
      </c>
      <c r="D17" t="n">
        <v>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2026-05-21T20:24:52Z</dcterms:created>
  <dcterms:modified xsi:type="dcterms:W3CDTF">2026-05-21T20:24:52Z</dcterms:modified>
</cp:coreProperties>
</file>