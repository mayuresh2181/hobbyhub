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18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476.15</v>
      </c>
      <c r="C2" t="n">
        <v>115487371</v>
      </c>
      <c r="D2" t="n">
        <v>19901756</v>
      </c>
      <c r="E2" t="n">
        <v>17.23</v>
      </c>
      <c r="F2" t="n">
        <v>1884860</v>
      </c>
      <c r="G2" t="n">
        <v>10.56</v>
      </c>
      <c r="H2" t="n">
        <v>5498.93</v>
      </c>
      <c r="I2" t="n">
        <v>947.62</v>
      </c>
    </row>
    <row r="3">
      <c r="A3">
        <f>HYPERLINK("https://www.tradingview.com/chart/?symbol=NSE:CDSL","CDSL")</f>
        <v/>
      </c>
      <c r="B3" t="n">
        <v>1431.9</v>
      </c>
      <c r="C3" t="n">
        <v>9178914</v>
      </c>
      <c r="D3" t="n">
        <v>3861959</v>
      </c>
      <c r="E3" t="n">
        <v>42.07</v>
      </c>
      <c r="F3" t="n">
        <v>487087.5</v>
      </c>
      <c r="G3" t="n">
        <v>7.93</v>
      </c>
      <c r="H3" t="n">
        <v>1314.33</v>
      </c>
      <c r="I3" t="n">
        <v>552.99</v>
      </c>
    </row>
    <row r="4">
      <c r="A4">
        <f>HYPERLINK("https://www.tradingview.com/chart/?symbol=NSE:DRREDDY","DRREDDY")</f>
        <v/>
      </c>
      <c r="B4" t="n">
        <v>1244.3</v>
      </c>
      <c r="C4" t="n">
        <v>8106606</v>
      </c>
      <c r="D4" t="n">
        <v>4361177</v>
      </c>
      <c r="E4" t="n">
        <v>53.8</v>
      </c>
      <c r="F4" t="n">
        <v>628319</v>
      </c>
      <c r="G4" t="n">
        <v>6.94</v>
      </c>
      <c r="H4" t="n">
        <v>1008.7</v>
      </c>
      <c r="I4" t="n">
        <v>542.66</v>
      </c>
    </row>
    <row r="5">
      <c r="A5">
        <f>HYPERLINK("https://www.tradingview.com/chart/?symbol=NSE:DELHIVERY","DELHIVERY")</f>
        <v/>
      </c>
      <c r="B5" t="n">
        <v>520.3</v>
      </c>
      <c r="C5" t="n">
        <v>13914959</v>
      </c>
      <c r="D5" t="n">
        <v>9405977</v>
      </c>
      <c r="E5" t="n">
        <v>67.59999999999999</v>
      </c>
      <c r="F5" t="n">
        <v>1671760</v>
      </c>
      <c r="G5" t="n">
        <v>5.63</v>
      </c>
      <c r="H5" t="n">
        <v>724</v>
      </c>
      <c r="I5" t="n">
        <v>489.39</v>
      </c>
    </row>
    <row r="6">
      <c r="A6">
        <f>HYPERLINK("https://www.tradingview.com/chart/?symbol=NSE:ETHOSLTD","ETHOSLTD")</f>
        <v/>
      </c>
      <c r="B6" t="n">
        <v>2477.5</v>
      </c>
      <c r="C6" t="n">
        <v>797816</v>
      </c>
      <c r="D6" t="n">
        <v>732248</v>
      </c>
      <c r="E6" t="n">
        <v>91.78</v>
      </c>
      <c r="F6" t="n">
        <v>6822.5</v>
      </c>
      <c r="G6" t="n">
        <v>107.33</v>
      </c>
      <c r="H6" t="n">
        <v>197.66</v>
      </c>
      <c r="I6" t="n">
        <v>181.41</v>
      </c>
    </row>
    <row r="7">
      <c r="A7">
        <f>HYPERLINK("https://www.tradingview.com/chart/?symbol=NSE:ZENSARTECH","ZENSARTECH")</f>
        <v/>
      </c>
      <c r="B7" t="n">
        <v>508.25</v>
      </c>
      <c r="C7" t="n">
        <v>47030557</v>
      </c>
      <c r="D7" t="n">
        <v>2851264</v>
      </c>
      <c r="E7" t="n">
        <v>6.06</v>
      </c>
      <c r="F7" t="n">
        <v>311097.5</v>
      </c>
      <c r="G7" t="n">
        <v>9.17</v>
      </c>
      <c r="H7" t="n">
        <v>2390.33</v>
      </c>
      <c r="I7" t="n">
        <v>144.92</v>
      </c>
    </row>
    <row r="8">
      <c r="A8">
        <f>HYPERLINK("https://www.tradingview.com/chart/?symbol=NSE:NEWGEN","NEWGEN")</f>
        <v/>
      </c>
      <c r="B8" t="n">
        <v>517.2</v>
      </c>
      <c r="C8" t="n">
        <v>29948995</v>
      </c>
      <c r="D8" t="n">
        <v>2415435</v>
      </c>
      <c r="E8" t="n">
        <v>8.07</v>
      </c>
      <c r="F8" t="n">
        <v>210644.5</v>
      </c>
      <c r="G8" t="n">
        <v>11.47</v>
      </c>
      <c r="H8" t="n">
        <v>1548.96</v>
      </c>
      <c r="I8" t="n">
        <v>124.93</v>
      </c>
    </row>
    <row r="9">
      <c r="A9">
        <f>HYPERLINK("https://www.tradingview.com/chart/?symbol=NSE:IONEXCHANG","IONEXCHANG")</f>
        <v/>
      </c>
      <c r="B9" t="n">
        <v>468.3</v>
      </c>
      <c r="C9" t="n">
        <v>12898024</v>
      </c>
      <c r="D9" t="n">
        <v>1649686</v>
      </c>
      <c r="E9" t="n">
        <v>12.79</v>
      </c>
      <c r="F9" t="n">
        <v>204430</v>
      </c>
      <c r="G9" t="n">
        <v>8.07</v>
      </c>
      <c r="H9" t="n">
        <v>604.01</v>
      </c>
      <c r="I9" t="n">
        <v>77.25</v>
      </c>
    </row>
    <row r="10">
      <c r="A10">
        <f>HYPERLINK("https://www.tradingview.com/chart/?symbol=NSE:RHIM","RHIM")</f>
        <v/>
      </c>
      <c r="B10" t="n">
        <v>420.35</v>
      </c>
      <c r="C10" t="n">
        <v>5014433</v>
      </c>
      <c r="D10" t="n">
        <v>1669819</v>
      </c>
      <c r="E10" t="n">
        <v>33.3</v>
      </c>
      <c r="F10" t="n">
        <v>142221</v>
      </c>
      <c r="G10" t="n">
        <v>11.74</v>
      </c>
      <c r="H10" t="n">
        <v>210.78</v>
      </c>
      <c r="I10" t="n">
        <v>70.19</v>
      </c>
    </row>
    <row r="11">
      <c r="A11">
        <f>HYPERLINK("https://www.tradingview.com/chart/?symbol=NSE:GOLDIAM","GOLDIAM")</f>
        <v/>
      </c>
      <c r="B11" t="n">
        <v>378</v>
      </c>
      <c r="C11" t="n">
        <v>9982384</v>
      </c>
      <c r="D11" t="n">
        <v>1791399</v>
      </c>
      <c r="E11" t="n">
        <v>17.95</v>
      </c>
      <c r="F11" t="n">
        <v>332925.5</v>
      </c>
      <c r="G11" t="n">
        <v>5.38</v>
      </c>
      <c r="H11" t="n">
        <v>377.33</v>
      </c>
      <c r="I11" t="n">
        <v>67.70999999999999</v>
      </c>
    </row>
    <row r="12">
      <c r="A12">
        <f>HYPERLINK("https://www.tradingview.com/chart/?symbol=NSE:ABDL","ABDL")</f>
        <v/>
      </c>
      <c r="B12" t="n">
        <v>648.75</v>
      </c>
      <c r="C12" t="n">
        <v>1420666</v>
      </c>
      <c r="D12" t="n">
        <v>929614</v>
      </c>
      <c r="E12" t="n">
        <v>65.44</v>
      </c>
      <c r="F12" t="n">
        <v>150752.5</v>
      </c>
      <c r="G12" t="n">
        <v>6.17</v>
      </c>
      <c r="H12" t="n">
        <v>92.17</v>
      </c>
      <c r="I12" t="n">
        <v>60.31</v>
      </c>
    </row>
    <row r="13">
      <c r="A13">
        <f>HYPERLINK("https://www.tradingview.com/chart/?symbol=NSE:TBOTEK","TBOTEK")</f>
        <v/>
      </c>
      <c r="B13" t="n">
        <v>1504.9</v>
      </c>
      <c r="C13" t="n">
        <v>442591</v>
      </c>
      <c r="D13" t="n">
        <v>390174</v>
      </c>
      <c r="E13" t="n">
        <v>88.16</v>
      </c>
      <c r="F13" t="n">
        <v>54959.5</v>
      </c>
      <c r="G13" t="n">
        <v>7.1</v>
      </c>
      <c r="H13" t="n">
        <v>66.61</v>
      </c>
      <c r="I13" t="n">
        <v>58.72</v>
      </c>
    </row>
    <row r="14">
      <c r="A14">
        <f>HYPERLINK("https://www.tradingview.com/chart/?symbol=NSE:GODREJIND","GODREJIND")</f>
        <v/>
      </c>
      <c r="B14" t="n">
        <v>1417.7</v>
      </c>
      <c r="C14" t="n">
        <v>2661745</v>
      </c>
      <c r="D14" t="n">
        <v>384488</v>
      </c>
      <c r="E14" t="n">
        <v>14.44</v>
      </c>
      <c r="F14" t="n">
        <v>56469.5</v>
      </c>
      <c r="G14" t="n">
        <v>6.81</v>
      </c>
      <c r="H14" t="n">
        <v>377.36</v>
      </c>
      <c r="I14" t="n">
        <v>54.51</v>
      </c>
    </row>
    <row r="15">
      <c r="A15">
        <f>HYPERLINK("https://www.tradingview.com/chart/?symbol=NSE:STALLION","STALLION")</f>
        <v/>
      </c>
      <c r="B15" t="n">
        <v>204.88</v>
      </c>
      <c r="C15" t="n">
        <v>16334635</v>
      </c>
      <c r="D15" t="n">
        <v>2619014</v>
      </c>
      <c r="E15" t="n">
        <v>16.03</v>
      </c>
      <c r="F15" t="n">
        <v>509255.5</v>
      </c>
      <c r="G15" t="n">
        <v>5.14</v>
      </c>
      <c r="H15" t="n">
        <v>334.66</v>
      </c>
      <c r="I15" t="n">
        <v>53.66</v>
      </c>
    </row>
    <row r="16">
      <c r="A16">
        <f>HYPERLINK("https://www.tradingview.com/chart/?symbol=NSE:HAPPSTMNDS","HAPPSTMNDS")</f>
        <v/>
      </c>
      <c r="B16" t="n">
        <v>386.3</v>
      </c>
      <c r="C16" t="n">
        <v>4373075</v>
      </c>
      <c r="D16" t="n">
        <v>1218932</v>
      </c>
      <c r="E16" t="n">
        <v>27.87</v>
      </c>
      <c r="F16" t="n">
        <v>220977</v>
      </c>
      <c r="G16" t="n">
        <v>5.52</v>
      </c>
      <c r="H16" t="n">
        <v>168.93</v>
      </c>
      <c r="I16" t="n">
        <v>47.09</v>
      </c>
    </row>
    <row r="17">
      <c r="A17">
        <f>HYPERLINK("https://www.tradingview.com/chart/?symbol=NSE:SUMICHEM","SUMICHEM")</f>
        <v/>
      </c>
      <c r="B17" t="n">
        <v>513.7</v>
      </c>
      <c r="C17" t="n">
        <v>2258450</v>
      </c>
      <c r="D17" t="n">
        <v>905164</v>
      </c>
      <c r="E17" t="n">
        <v>40.08</v>
      </c>
      <c r="F17" t="n">
        <v>132508.5</v>
      </c>
      <c r="G17" t="n">
        <v>6.83</v>
      </c>
      <c r="H17" t="n">
        <v>116.02</v>
      </c>
      <c r="I17" t="n">
        <v>46.5</v>
      </c>
    </row>
    <row r="18">
      <c r="A18">
        <f>HYPERLINK("https://www.tradingview.com/chart/?symbol=NSE:ZFCVINDIA","ZFCVINDIA")</f>
        <v/>
      </c>
      <c r="B18" t="n">
        <v>2333.8</v>
      </c>
      <c r="C18" t="n">
        <v>246194</v>
      </c>
      <c r="D18" t="n">
        <v>192668</v>
      </c>
      <c r="E18" t="n">
        <v>78.26000000000001</v>
      </c>
      <c r="F18" t="n">
        <v>21174.5</v>
      </c>
      <c r="G18" t="n">
        <v>9.1</v>
      </c>
      <c r="H18" t="n">
        <v>57.46</v>
      </c>
      <c r="I18" t="n">
        <v>44.96</v>
      </c>
    </row>
    <row r="19">
      <c r="A19">
        <f>HYPERLINK("https://www.tradingview.com/chart/?symbol=NSE:MAHLIFE","MAHLIFE")</f>
        <v/>
      </c>
      <c r="B19" t="n">
        <v>378.9</v>
      </c>
      <c r="C19" t="n">
        <v>1292886</v>
      </c>
      <c r="D19" t="n">
        <v>1184617</v>
      </c>
      <c r="E19" t="n">
        <v>91.63</v>
      </c>
      <c r="F19" t="n">
        <v>61803</v>
      </c>
      <c r="G19" t="n">
        <v>19.17</v>
      </c>
      <c r="H19" t="n">
        <v>48.99</v>
      </c>
      <c r="I19" t="n">
        <v>44.89</v>
      </c>
    </row>
    <row r="20">
      <c r="A20">
        <f>HYPERLINK("https://www.tradingview.com/chart/?symbol=NSE:EMSLIMITED","EMSLIMITED")</f>
        <v/>
      </c>
      <c r="B20" t="n">
        <v>458.15</v>
      </c>
      <c r="C20" t="n">
        <v>2680107</v>
      </c>
      <c r="D20" t="n">
        <v>899272</v>
      </c>
      <c r="E20" t="n">
        <v>33.55</v>
      </c>
      <c r="F20" t="n">
        <v>164676.5</v>
      </c>
      <c r="G20" t="n">
        <v>5.46</v>
      </c>
      <c r="H20" t="n">
        <v>122.79</v>
      </c>
      <c r="I20" t="n">
        <v>41.2</v>
      </c>
    </row>
    <row r="21">
      <c r="A21">
        <f>HYPERLINK("https://www.tradingview.com/chart/?symbol=NSE:MOBIKWIK","MOBIKWIK")</f>
        <v/>
      </c>
      <c r="B21" t="n">
        <v>221.45</v>
      </c>
      <c r="C21" t="n">
        <v>9125473</v>
      </c>
      <c r="D21" t="n">
        <v>1846860</v>
      </c>
      <c r="E21" t="n">
        <v>20.24</v>
      </c>
      <c r="F21" t="n">
        <v>245023</v>
      </c>
      <c r="G21" t="n">
        <v>7.54</v>
      </c>
      <c r="H21" t="n">
        <v>202.08</v>
      </c>
      <c r="I21" t="n">
        <v>40.9</v>
      </c>
    </row>
    <row r="22">
      <c r="A22">
        <f>HYPERLINK("https://www.tradingview.com/chart/?symbol=NSE:SENCO","SENCO")</f>
        <v/>
      </c>
      <c r="B22" t="n">
        <v>362.15</v>
      </c>
      <c r="C22" t="n">
        <v>4077698</v>
      </c>
      <c r="D22" t="n">
        <v>1103581</v>
      </c>
      <c r="E22" t="n">
        <v>27.06</v>
      </c>
      <c r="F22" t="n">
        <v>188797</v>
      </c>
      <c r="G22" t="n">
        <v>5.85</v>
      </c>
      <c r="H22" t="n">
        <v>147.67</v>
      </c>
      <c r="I22" t="n">
        <v>39.97</v>
      </c>
    </row>
    <row r="23">
      <c r="A23">
        <f>HYPERLINK("https://www.tradingview.com/chart/?symbol=NSE:MUTHOOTMF","MUTHOOTMF")</f>
        <v/>
      </c>
      <c r="B23" t="n">
        <v>235.26</v>
      </c>
      <c r="C23" t="n">
        <v>19681749</v>
      </c>
      <c r="D23" t="n">
        <v>1613616</v>
      </c>
      <c r="E23" t="n">
        <v>8.199999999999999</v>
      </c>
      <c r="F23" t="n">
        <v>140253</v>
      </c>
      <c r="G23" t="n">
        <v>11.51</v>
      </c>
      <c r="H23" t="n">
        <v>463.03</v>
      </c>
      <c r="I23" t="n">
        <v>37.96</v>
      </c>
    </row>
    <row r="24">
      <c r="A24">
        <f>HYPERLINK("https://www.tradingview.com/chart/?symbol=NSE:IFBIND","IFBIND")</f>
        <v/>
      </c>
      <c r="B24" t="n">
        <v>1380.5</v>
      </c>
      <c r="C24" t="n">
        <v>658386</v>
      </c>
      <c r="D24" t="n">
        <v>259855</v>
      </c>
      <c r="E24" t="n">
        <v>39.47</v>
      </c>
      <c r="F24" t="n">
        <v>26604</v>
      </c>
      <c r="G24" t="n">
        <v>9.77</v>
      </c>
      <c r="H24" t="n">
        <v>90.89</v>
      </c>
      <c r="I24" t="n">
        <v>35.87</v>
      </c>
    </row>
    <row r="25">
      <c r="A25">
        <f>HYPERLINK("https://www.tradingview.com/chart/?symbol=NSE:MAXESTATES","MAXESTATES")</f>
        <v/>
      </c>
      <c r="B25" t="n">
        <v>449.5</v>
      </c>
      <c r="C25" t="n">
        <v>877910</v>
      </c>
      <c r="D25" t="n">
        <v>790461</v>
      </c>
      <c r="E25" t="n">
        <v>90.04000000000001</v>
      </c>
      <c r="F25" t="n">
        <v>24606.5</v>
      </c>
      <c r="G25" t="n">
        <v>32.12</v>
      </c>
      <c r="H25" t="n">
        <v>39.46</v>
      </c>
      <c r="I25" t="n">
        <v>35.53</v>
      </c>
    </row>
    <row r="26">
      <c r="A26">
        <f>HYPERLINK("https://www.tradingview.com/chart/?symbol=NSE:PGHL","PGHL")</f>
        <v/>
      </c>
      <c r="B26" t="n">
        <v>6839</v>
      </c>
      <c r="C26" t="n">
        <v>82938</v>
      </c>
      <c r="D26" t="n">
        <v>51538</v>
      </c>
      <c r="E26" t="n">
        <v>62.14</v>
      </c>
      <c r="F26" t="n">
        <v>7523</v>
      </c>
      <c r="G26" t="n">
        <v>6.85</v>
      </c>
      <c r="H26" t="n">
        <v>56.72</v>
      </c>
      <c r="I26" t="n">
        <v>35.25</v>
      </c>
    </row>
    <row r="27">
      <c r="A27">
        <f>HYPERLINK("https://www.tradingview.com/chart/?symbol=NSE:SKFINDUS","SKFINDUS")</f>
        <v/>
      </c>
      <c r="B27" t="n">
        <v>2830.4</v>
      </c>
      <c r="C27" t="n">
        <v>146009</v>
      </c>
      <c r="D27" t="n">
        <v>120539</v>
      </c>
      <c r="E27" t="n">
        <v>82.56</v>
      </c>
      <c r="F27" t="n">
        <v>18134</v>
      </c>
      <c r="G27" t="n">
        <v>6.65</v>
      </c>
      <c r="H27" t="n">
        <v>41.33</v>
      </c>
      <c r="I27" t="n">
        <v>34.12</v>
      </c>
    </row>
    <row r="28">
      <c r="A28">
        <f>HYPERLINK("https://www.tradingview.com/chart/?symbol=NSE:CANHLIFE","CANHLIFE")</f>
        <v/>
      </c>
      <c r="B28" t="n">
        <v>144.03</v>
      </c>
      <c r="C28" t="n">
        <v>2458962</v>
      </c>
      <c r="D28" t="n">
        <v>2184455</v>
      </c>
      <c r="E28" t="n">
        <v>88.84</v>
      </c>
      <c r="F28" t="n">
        <v>300124</v>
      </c>
      <c r="G28" t="n">
        <v>7.28</v>
      </c>
      <c r="H28" t="n">
        <v>35.42</v>
      </c>
      <c r="I28" t="n">
        <v>31.46</v>
      </c>
    </row>
    <row r="29">
      <c r="A29">
        <f>HYPERLINK("https://www.tradingview.com/chart/?symbol=NSE:BECTORFOOD","BECTORFOOD")</f>
        <v/>
      </c>
      <c r="B29" t="n">
        <v>169.37</v>
      </c>
      <c r="C29" t="n">
        <v>2452161</v>
      </c>
      <c r="D29" t="n">
        <v>1739659</v>
      </c>
      <c r="E29" t="n">
        <v>70.94</v>
      </c>
      <c r="F29" t="n">
        <v>318416.5</v>
      </c>
      <c r="G29" t="n">
        <v>5.46</v>
      </c>
      <c r="H29" t="n">
        <v>41.53</v>
      </c>
      <c r="I29" t="n">
        <v>29.46</v>
      </c>
    </row>
    <row r="30">
      <c r="A30">
        <f>HYPERLINK("https://www.tradingview.com/chart/?symbol=NSE:HDFCPSUBK","HDFCPSUBK")</f>
        <v/>
      </c>
      <c r="B30" t="n">
        <v>85.41</v>
      </c>
      <c r="C30" t="n">
        <v>4186849</v>
      </c>
      <c r="D30" t="n">
        <v>3433510</v>
      </c>
      <c r="E30" t="n">
        <v>82.01000000000001</v>
      </c>
      <c r="F30" t="n">
        <v>46932</v>
      </c>
      <c r="G30" t="n">
        <v>73.16</v>
      </c>
      <c r="H30" t="n">
        <v>35.76</v>
      </c>
      <c r="I30" t="n">
        <v>29.33</v>
      </c>
    </row>
    <row r="31">
      <c r="A31">
        <f>HYPERLINK("https://www.tradingview.com/chart/?symbol=NSE:SBFC","SBFC")</f>
        <v/>
      </c>
      <c r="B31" t="n">
        <v>91.95999999999999</v>
      </c>
      <c r="C31" t="n">
        <v>4451123</v>
      </c>
      <c r="D31" t="n">
        <v>3137143</v>
      </c>
      <c r="E31" t="n">
        <v>70.48</v>
      </c>
      <c r="F31" t="n">
        <v>457320.5</v>
      </c>
      <c r="G31" t="n">
        <v>6.86</v>
      </c>
      <c r="H31" t="n">
        <v>40.93</v>
      </c>
      <c r="I31" t="n">
        <v>28.85</v>
      </c>
    </row>
    <row r="32">
      <c r="A32">
        <f>HYPERLINK("https://www.tradingview.com/chart/?symbol=NSE:EMUDHRA","EMUDHRA")</f>
        <v/>
      </c>
      <c r="B32" t="n">
        <v>455.75</v>
      </c>
      <c r="C32" t="n">
        <v>6243996</v>
      </c>
      <c r="D32" t="n">
        <v>585299</v>
      </c>
      <c r="E32" t="n">
        <v>9.369999999999999</v>
      </c>
      <c r="F32" t="n">
        <v>31961</v>
      </c>
      <c r="G32" t="n">
        <v>18.31</v>
      </c>
      <c r="H32" t="n">
        <v>284.57</v>
      </c>
      <c r="I32" t="n">
        <v>26.68</v>
      </c>
    </row>
    <row r="33">
      <c r="A33">
        <f>HYPERLINK("https://www.tradingview.com/chart/?symbol=NSE:ICRA","ICRA")</f>
        <v/>
      </c>
      <c r="B33" t="n">
        <v>5298</v>
      </c>
      <c r="C33" t="n">
        <v>64345</v>
      </c>
      <c r="D33" t="n">
        <v>47118</v>
      </c>
      <c r="E33" t="n">
        <v>73.23</v>
      </c>
      <c r="F33" t="n">
        <v>5885</v>
      </c>
      <c r="G33" t="n">
        <v>8.01</v>
      </c>
      <c r="H33" t="n">
        <v>34.09</v>
      </c>
      <c r="I33" t="n">
        <v>24.96</v>
      </c>
    </row>
    <row r="34">
      <c r="A34">
        <f>HYPERLINK("https://www.tradingview.com/chart/?symbol=NSE:ELLEN","ELLEN")</f>
        <v/>
      </c>
      <c r="B34" t="n">
        <v>294.25</v>
      </c>
      <c r="C34" t="n">
        <v>1669388</v>
      </c>
      <c r="D34" t="n">
        <v>839424</v>
      </c>
      <c r="E34" t="n">
        <v>50.28</v>
      </c>
      <c r="F34" t="n">
        <v>118629</v>
      </c>
      <c r="G34" t="n">
        <v>7.08</v>
      </c>
      <c r="H34" t="n">
        <v>49.12</v>
      </c>
      <c r="I34" t="n">
        <v>24.7</v>
      </c>
    </row>
    <row r="35">
      <c r="A35">
        <f>HYPERLINK("https://www.tradingview.com/chart/?symbol=NSE:INA","INA")</f>
        <v/>
      </c>
      <c r="B35" t="n">
        <v>124.93</v>
      </c>
      <c r="C35" t="n">
        <v>22232334</v>
      </c>
      <c r="D35" t="n">
        <v>1790719</v>
      </c>
      <c r="E35" t="n">
        <v>8.050000000000001</v>
      </c>
      <c r="F35" t="n">
        <v>264100</v>
      </c>
      <c r="G35" t="n">
        <v>6.78</v>
      </c>
      <c r="H35" t="n">
        <v>277.75</v>
      </c>
      <c r="I35" t="n">
        <v>22.37</v>
      </c>
    </row>
    <row r="36">
      <c r="A36">
        <f>HYPERLINK("https://www.tradingview.com/chart/?symbol=NSE:KODYTECH","KODYTECH")</f>
        <v/>
      </c>
      <c r="B36" t="n">
        <v>1216.75</v>
      </c>
      <c r="C36" t="n">
        <v>221500</v>
      </c>
      <c r="D36" t="n">
        <v>179200</v>
      </c>
      <c r="E36" t="n">
        <v>80.90000000000001</v>
      </c>
      <c r="F36" t="n">
        <v>9550</v>
      </c>
      <c r="G36" t="n">
        <v>18.76</v>
      </c>
      <c r="H36" t="n">
        <v>26.95</v>
      </c>
      <c r="I36" t="n">
        <v>21.8</v>
      </c>
    </row>
    <row r="37">
      <c r="A37">
        <f>HYPERLINK("https://www.tradingview.com/chart/?symbol=NSE:ITDC","ITDC")</f>
        <v/>
      </c>
      <c r="B37" t="n">
        <v>716.8</v>
      </c>
      <c r="C37" t="n">
        <v>3469655</v>
      </c>
      <c r="D37" t="n">
        <v>293035</v>
      </c>
      <c r="E37" t="n">
        <v>8.449999999999999</v>
      </c>
      <c r="F37" t="n">
        <v>51823</v>
      </c>
      <c r="G37" t="n">
        <v>5.65</v>
      </c>
      <c r="H37" t="n">
        <v>248.7</v>
      </c>
      <c r="I37" t="n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2026-07-14T04:19:23Z</dcterms:created>
  <dcterms:modified xsi:type="dcterms:W3CDTF">2026-07-14T04:19:23Z</dcterms:modified>
</cp:coreProperties>
</file>