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HYPERLINK("https://www.tradingview.com/chart/?symbol=NSE:GODREJIND","GODREJIND")</f>
        <v/>
      </c>
      <c r="B2" t="n">
        <v>384488</v>
      </c>
      <c r="C2" t="n">
        <v>57073.24137931035</v>
      </c>
      <c r="D2" t="n">
        <v>6.74</v>
      </c>
    </row>
    <row r="3">
      <c r="A3">
        <f>HYPERLINK("https://www.tradingview.com/chart/?symbol=NSE:KALYANKJIL","KALYANKJIL")</f>
        <v/>
      </c>
      <c r="B3" t="n">
        <v>19901756</v>
      </c>
      <c r="C3" t="n">
        <v>3080821</v>
      </c>
      <c r="D3" t="n">
        <v>6.46</v>
      </c>
    </row>
    <row r="4">
      <c r="A4">
        <f>HYPERLINK("https://www.tradingview.com/chart/?symbol=NSE:NEWGEN","NEWGEN")</f>
        <v/>
      </c>
      <c r="B4" t="n">
        <v>2415435</v>
      </c>
      <c r="C4" t="n">
        <v>383476.5172413793</v>
      </c>
      <c r="D4" t="n">
        <v>6.3</v>
      </c>
    </row>
    <row r="5">
      <c r="A5">
        <f>HYPERLINK("https://www.tradingview.com/chart/?symbol=NSE:CANHLIFE","CANHLIFE")</f>
        <v/>
      </c>
      <c r="B5" t="n">
        <v>2184455</v>
      </c>
      <c r="C5" t="n">
        <v>363208.8275862069</v>
      </c>
      <c r="D5" t="n">
        <v>6.01</v>
      </c>
    </row>
    <row r="6">
      <c r="A6">
        <f>HYPERLINK("https://www.tradingview.com/chart/?symbol=NSE:CDSL","CDSL")</f>
        <v/>
      </c>
      <c r="B6" t="n">
        <v>3861959</v>
      </c>
      <c r="C6" t="n">
        <v>655058.1379310344</v>
      </c>
      <c r="D6" t="n">
        <v>5.9</v>
      </c>
    </row>
    <row r="7">
      <c r="A7">
        <f>HYPERLINK("https://www.tradingview.com/chart/?symbol=NSE:ZENSARTECH","ZENSARTECH")</f>
        <v/>
      </c>
      <c r="B7" t="n">
        <v>2851264</v>
      </c>
      <c r="C7" t="n">
        <v>549162.1379310344</v>
      </c>
      <c r="D7" t="n">
        <v>5.19</v>
      </c>
    </row>
    <row r="8">
      <c r="A8">
        <f>HYPERLINK("https://www.tradingview.com/chart/?symbol=NSE:DRREDDY","DRREDDY")</f>
        <v/>
      </c>
      <c r="B8" t="n">
        <v>4361177</v>
      </c>
      <c r="C8" t="n">
        <v>864465.5862068966</v>
      </c>
      <c r="D8" t="n">
        <v>5.04</v>
      </c>
    </row>
    <row r="9">
      <c r="A9">
        <f>HYPERLINK("https://www.tradingview.com/chart/?symbol=NSE:SBFC","SBFC")</f>
        <v/>
      </c>
      <c r="B9" t="n">
        <v>3137143</v>
      </c>
      <c r="C9" t="n">
        <v>652347.4137931034</v>
      </c>
      <c r="D9" t="n">
        <v>4.81</v>
      </c>
    </row>
    <row r="10">
      <c r="A10">
        <f>HYPERLINK("https://www.tradingview.com/chart/?symbol=NSE:ABDL","ABDL")</f>
        <v/>
      </c>
      <c r="B10" t="n">
        <v>929614</v>
      </c>
      <c r="C10" t="n">
        <v>196417</v>
      </c>
      <c r="D10" t="n">
        <v>4.73</v>
      </c>
    </row>
    <row r="11">
      <c r="A11">
        <f>HYPERLINK("https://www.tradingview.com/chart/?symbol=NSE:RHIM","RHIM")</f>
        <v/>
      </c>
      <c r="B11" t="n">
        <v>1669819</v>
      </c>
      <c r="C11" t="n">
        <v>403329.6206896552</v>
      </c>
      <c r="D11" t="n">
        <v>4.14</v>
      </c>
    </row>
    <row r="12">
      <c r="A12">
        <f>HYPERLINK("https://www.tradingview.com/chart/?symbol=NSE:ATUL","ATUL")</f>
        <v/>
      </c>
      <c r="B12" t="n">
        <v>47167</v>
      </c>
      <c r="C12" t="n">
        <v>11932.03448275862</v>
      </c>
      <c r="D12" t="n">
        <v>3.95</v>
      </c>
    </row>
    <row r="13">
      <c r="A13">
        <f>HYPERLINK("https://www.tradingview.com/chart/?symbol=NSE:ARE&amp;M","ARE&amp;M")</f>
        <v/>
      </c>
      <c r="B13" t="n">
        <v>859855</v>
      </c>
      <c r="C13" t="n">
        <v>224774.9310344828</v>
      </c>
      <c r="D13" t="n">
        <v>3.83</v>
      </c>
    </row>
    <row r="14">
      <c r="A14">
        <f>HYPERLINK("https://www.tradingview.com/chart/?symbol=NSE:J&amp;KBANK","J&amp;KBANK")</f>
        <v/>
      </c>
      <c r="B14" t="n">
        <v>7449900</v>
      </c>
      <c r="C14" t="n">
        <v>1952621.482758621</v>
      </c>
      <c r="D14" t="n">
        <v>3.82</v>
      </c>
    </row>
    <row r="15">
      <c r="A15">
        <f>HYPERLINK("https://www.tradingview.com/chart/?symbol=NSE:MRPL","MRPL")</f>
        <v/>
      </c>
      <c r="B15" t="n">
        <v>6820376</v>
      </c>
      <c r="C15" t="n">
        <v>1804772.379310345</v>
      </c>
      <c r="D15" t="n">
        <v>3.78</v>
      </c>
    </row>
    <row r="16">
      <c r="A16">
        <f>HYPERLINK("https://www.tradingview.com/chart/?symbol=NSE:BLUEJET","BLUEJET")</f>
        <v/>
      </c>
      <c r="B16" t="n">
        <v>1062858</v>
      </c>
      <c r="C16" t="n">
        <v>283599.2413793103</v>
      </c>
      <c r="D16" t="n">
        <v>3.75</v>
      </c>
    </row>
    <row r="17">
      <c r="A17">
        <f>HYPERLINK("https://www.tradingview.com/chart/?symbol=NSE:DELHIVERY","DELHIVERY")</f>
        <v/>
      </c>
      <c r="B17" t="n">
        <v>9405977</v>
      </c>
      <c r="C17" t="n">
        <v>2534128.655172414</v>
      </c>
      <c r="D17" t="n">
        <v>3.71</v>
      </c>
    </row>
    <row r="18">
      <c r="A18">
        <f>HYPERLINK("https://www.tradingview.com/chart/?symbol=NSE:INOXWIND","INOXWIND")</f>
        <v/>
      </c>
      <c r="B18" t="n">
        <v>16164772</v>
      </c>
      <c r="C18" t="n">
        <v>4437049.137931035</v>
      </c>
      <c r="D18" t="n">
        <v>3.64</v>
      </c>
    </row>
    <row r="19">
      <c r="A19">
        <f>HYPERLINK("https://www.tradingview.com/chart/?symbol=NSE:UTIAMC","UTIAMC")</f>
        <v/>
      </c>
      <c r="B19" t="n">
        <v>346882</v>
      </c>
      <c r="C19" t="n">
        <v>95934.55172413793</v>
      </c>
      <c r="D19" t="n">
        <v>3.62</v>
      </c>
    </row>
    <row r="20">
      <c r="A20">
        <f>HYPERLINK("https://www.tradingview.com/chart/?symbol=NSE:DIXON","DIXON")</f>
        <v/>
      </c>
      <c r="B20" t="n">
        <v>591632</v>
      </c>
      <c r="C20" t="n">
        <v>174064.2413793103</v>
      </c>
      <c r="D20" t="n">
        <v>3.4</v>
      </c>
    </row>
    <row r="21">
      <c r="A21">
        <f>HYPERLINK("https://www.tradingview.com/chart/?symbol=NSE:ZFCVINDIA","ZFCVINDIA")</f>
        <v/>
      </c>
      <c r="B21" t="n">
        <v>192668</v>
      </c>
      <c r="C21" t="n">
        <v>58367.1724137931</v>
      </c>
      <c r="D21" t="n">
        <v>3.3</v>
      </c>
    </row>
    <row r="22">
      <c r="A22">
        <f>HYPERLINK("https://www.tradingview.com/chart/?symbol=NSE:TBOTEK","TBOTEK")</f>
        <v/>
      </c>
      <c r="B22" t="n">
        <v>390174</v>
      </c>
      <c r="C22" t="n">
        <v>119174.0344827586</v>
      </c>
      <c r="D22" t="n">
        <v>3.27</v>
      </c>
    </row>
    <row r="23">
      <c r="A23">
        <f>HYPERLINK("https://www.tradingview.com/chart/?symbol=NSE:BRIGADE","BRIGADE")</f>
        <v/>
      </c>
      <c r="B23" t="n">
        <v>1139441</v>
      </c>
      <c r="C23" t="n">
        <v>355711.6206896552</v>
      </c>
      <c r="D23" t="n">
        <v>3.2</v>
      </c>
    </row>
    <row r="24">
      <c r="A24">
        <f>HYPERLINK("https://www.tradingview.com/chart/?symbol=NSE:HEG","HEG")</f>
        <v/>
      </c>
      <c r="B24" t="n">
        <v>1091995</v>
      </c>
      <c r="C24" t="n">
        <v>348056.7931034483</v>
      </c>
      <c r="D24" t="n">
        <v>3.14</v>
      </c>
    </row>
    <row r="25">
      <c r="A25">
        <f>HYPERLINK("https://www.tradingview.com/chart/?symbol=NSE:SUMICHEM","SUMICHEM")</f>
        <v/>
      </c>
      <c r="B25" t="n">
        <v>905164</v>
      </c>
      <c r="C25" t="n">
        <v>300710.9655172414</v>
      </c>
      <c r="D25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2026-07-13T10:25:45Z</dcterms:created>
  <dcterms:modified xsi:type="dcterms:W3CDTF">2026-07-13T10:25:45Z</dcterms:modified>
</cp:coreProperties>
</file>