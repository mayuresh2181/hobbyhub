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HYPERLINK("https://www.tradingview.com/chart/?symbol=NSE:CEMPRO", "CEMPRO")</f>
        <v/>
      </c>
      <c r="B2" t="n">
        <v>2351410</v>
      </c>
      <c r="C2" t="n">
        <v>334414.0333333333</v>
      </c>
      <c r="D2" t="n">
        <v>7.03</v>
      </c>
    </row>
    <row r="3">
      <c r="A3">
        <f>HYPERLINK("https://www.tradingview.com/chart/?symbol=NSE:SYNGENE", "SYNGENE")</f>
        <v/>
      </c>
      <c r="B3" t="n">
        <v>7631518</v>
      </c>
      <c r="C3" t="n">
        <v>1163203.6</v>
      </c>
      <c r="D3" t="n">
        <v>6.56</v>
      </c>
    </row>
    <row r="4">
      <c r="A4">
        <f>HYPERLINK("https://www.tradingview.com/chart/?symbol=NSE:VIJAYA", "VIJAYA")</f>
        <v/>
      </c>
      <c r="B4" t="n">
        <v>504635</v>
      </c>
      <c r="C4" t="n">
        <v>104081.0666666667</v>
      </c>
      <c r="D4" t="n">
        <v>4.85</v>
      </c>
    </row>
    <row r="5">
      <c r="A5">
        <f>HYPERLINK("https://www.tradingview.com/chart/?symbol=NSE:NAVINFLUOR", "NAVINFLUOR")</f>
        <v/>
      </c>
      <c r="B5" t="n">
        <v>628806</v>
      </c>
      <c r="C5" t="n">
        <v>132966.9</v>
      </c>
      <c r="D5" t="n">
        <v>4.73</v>
      </c>
    </row>
    <row r="6">
      <c r="A6">
        <f>HYPERLINK("https://www.tradingview.com/chart/?symbol=NSE:M&amp;MFIN", "M&amp;MFIN")</f>
        <v/>
      </c>
      <c r="B6" t="n">
        <v>3654321</v>
      </c>
      <c r="C6" t="n">
        <v>869115.8965517242</v>
      </c>
      <c r="D6" t="n">
        <v>4.2</v>
      </c>
    </row>
    <row r="7">
      <c r="A7">
        <f>HYPERLINK("https://www.tradingview.com/chart/?symbol=NSE:IIFL", "IIFL")</f>
        <v/>
      </c>
      <c r="B7" t="n">
        <v>5305067</v>
      </c>
      <c r="C7" t="n">
        <v>1316106.3</v>
      </c>
      <c r="D7" t="n">
        <v>4.03</v>
      </c>
    </row>
    <row r="8">
      <c r="A8">
        <f>HYPERLINK("https://www.tradingview.com/chart/?symbol=NSE:JKCEMENT", "JKCEMENT")</f>
        <v/>
      </c>
      <c r="B8" t="n">
        <v>228830</v>
      </c>
      <c r="C8" t="n">
        <v>57568.73333333333</v>
      </c>
      <c r="D8" t="n">
        <v>3.97</v>
      </c>
    </row>
    <row r="9">
      <c r="A9">
        <f>HYPERLINK("https://www.tradingview.com/chart/?symbol=NSE:KFINTECH", "KFINTECH")</f>
        <v/>
      </c>
      <c r="B9" t="n">
        <v>2075717</v>
      </c>
      <c r="C9" t="n">
        <v>532753.7666666667</v>
      </c>
      <c r="D9" t="n">
        <v>3.9</v>
      </c>
    </row>
    <row r="10">
      <c r="A10">
        <f>HYPERLINK("https://www.tradingview.com/chart/?symbol=NSE:WAAREEENER", "WAAREEENER")</f>
        <v/>
      </c>
      <c r="B10" t="n">
        <v>2728980</v>
      </c>
      <c r="C10" t="n">
        <v>711568</v>
      </c>
      <c r="D10" t="n">
        <v>3.84</v>
      </c>
    </row>
    <row r="11">
      <c r="A11">
        <f>HYPERLINK("https://www.tradingview.com/chart/?symbol=NSE:VEDL", "VEDL")</f>
        <v/>
      </c>
      <c r="B11" t="n">
        <v>37087810</v>
      </c>
      <c r="C11" t="n">
        <v>10806804</v>
      </c>
      <c r="D11" t="n">
        <v>3.43</v>
      </c>
    </row>
    <row r="12">
      <c r="A12">
        <f>HYPERLINK("https://www.tradingview.com/chart/?symbol=NSE:FLUOROCHEM", "FLUOROCHEM")</f>
        <v/>
      </c>
      <c r="B12" t="n">
        <v>198887</v>
      </c>
      <c r="C12" t="n">
        <v>57992.83333333334</v>
      </c>
      <c r="D12" t="n">
        <v>3.43</v>
      </c>
    </row>
    <row r="13">
      <c r="A13">
        <f>HYPERLINK("https://www.tradingview.com/chart/?symbol=NSE:MEESHO", "MEESHO")</f>
        <v/>
      </c>
      <c r="B13" t="n">
        <v>10805760</v>
      </c>
      <c r="C13" t="n">
        <v>3278804.766666667</v>
      </c>
      <c r="D13" t="n">
        <v>3.3</v>
      </c>
    </row>
    <row r="14">
      <c r="A14">
        <f>HYPERLINK("https://www.tradingview.com/chart/?symbol=NSE:CEATLTD", "CEATLTD")</f>
        <v/>
      </c>
      <c r="B14" t="n">
        <v>183034</v>
      </c>
      <c r="C14" t="n">
        <v>57319.76666666667</v>
      </c>
      <c r="D14" t="n">
        <v>3.19</v>
      </c>
    </row>
    <row r="15">
      <c r="A15">
        <f>HYPERLINK("https://www.tradingview.com/chart/?symbol=NSE:HFCL", "HFCL")</f>
        <v/>
      </c>
      <c r="B15" t="n">
        <v>43591888</v>
      </c>
      <c r="C15" t="n">
        <v>13658687.66666667</v>
      </c>
      <c r="D15" t="n">
        <v>3.19</v>
      </c>
    </row>
    <row r="16">
      <c r="A16">
        <f>HYPERLINK("https://www.tradingview.com/chart/?symbol=NSE:INDIANB", "INDIANB")</f>
        <v/>
      </c>
      <c r="B16" t="n">
        <v>3329456</v>
      </c>
      <c r="C16" t="n">
        <v>1072115.066666667</v>
      </c>
      <c r="D16" t="n">
        <v>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2026-05-03T19:38:26Z</dcterms:created>
  <dcterms:modified xsi:type="dcterms:W3CDTF">2026-05-03T19:38:26Z</dcterms:modified>
</cp:coreProperties>
</file>