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HYPERLINK("https://www.tradingview.com/chart/?symbol=NSE:FEDERALBNK","FEDERALBNK")</f>
        <v/>
      </c>
      <c r="B2" t="n">
        <v>130632060</v>
      </c>
      <c r="C2" t="n">
        <v>4315363.344827586</v>
      </c>
      <c r="D2" t="n">
        <v>30.27</v>
      </c>
    </row>
    <row r="3">
      <c r="A3">
        <f>HYPERLINK("https://www.tradingview.com/chart/?symbol=NSE:JUBLFOOD","JUBLFOOD")</f>
        <v/>
      </c>
      <c r="B3" t="n">
        <v>29780187</v>
      </c>
      <c r="C3" t="n">
        <v>1181911.689655172</v>
      </c>
      <c r="D3" t="n">
        <v>25.2</v>
      </c>
    </row>
    <row r="4">
      <c r="A4">
        <f>HYPERLINK("https://www.tradingview.com/chart/?symbol=NSE:HYUNDAI","HYUNDAI")</f>
        <v/>
      </c>
      <c r="B4" t="n">
        <v>12323377</v>
      </c>
      <c r="C4" t="n">
        <v>557472.448275862</v>
      </c>
      <c r="D4" t="n">
        <v>22.11</v>
      </c>
    </row>
    <row r="5">
      <c r="A5">
        <f>HYPERLINK("https://www.tradingview.com/chart/?symbol=NSE:INDIANB","INDIANB")</f>
        <v/>
      </c>
      <c r="B5" t="n">
        <v>24723007</v>
      </c>
      <c r="C5" t="n">
        <v>1223312.137931034</v>
      </c>
      <c r="D5" t="n">
        <v>20.21</v>
      </c>
    </row>
    <row r="6">
      <c r="A6">
        <f>HYPERLINK("https://www.tradingview.com/chart/?symbol=NSE:RVNL","RVNL")</f>
        <v/>
      </c>
      <c r="B6" t="n">
        <v>39771417</v>
      </c>
      <c r="C6" t="n">
        <v>2305291.068965517</v>
      </c>
      <c r="D6" t="n">
        <v>17.25</v>
      </c>
    </row>
    <row r="7">
      <c r="A7">
        <f>HYPERLINK("https://www.tradingview.com/chart/?symbol=NSE:PWL","PWL")</f>
        <v/>
      </c>
      <c r="B7" t="n">
        <v>19612730</v>
      </c>
      <c r="C7" t="n">
        <v>1171073.620689655</v>
      </c>
      <c r="D7" t="n">
        <v>16.75</v>
      </c>
    </row>
    <row r="8">
      <c r="A8">
        <f>HYPERLINK("https://www.tradingview.com/chart/?symbol=NSE:NATIONALUM","NATIONALUM")</f>
        <v/>
      </c>
      <c r="B8" t="n">
        <v>63287458</v>
      </c>
      <c r="C8" t="n">
        <v>3801620.103448276</v>
      </c>
      <c r="D8" t="n">
        <v>16.65</v>
      </c>
    </row>
    <row r="9">
      <c r="A9">
        <f>HYPERLINK("https://www.tradingview.com/chart/?symbol=NSE:JSWDULUX","JSWDULUX")</f>
        <v/>
      </c>
      <c r="B9" t="n">
        <v>224353</v>
      </c>
      <c r="C9" t="n">
        <v>13728.10344827586</v>
      </c>
      <c r="D9" t="n">
        <v>16.34</v>
      </c>
    </row>
    <row r="10">
      <c r="A10">
        <f>HYPERLINK("https://www.tradingview.com/chart/?symbol=NSE:TEGA","TEGA")</f>
        <v/>
      </c>
      <c r="B10" t="n">
        <v>271047</v>
      </c>
      <c r="C10" t="n">
        <v>16761.68965517241</v>
      </c>
      <c r="D10" t="n">
        <v>16.17</v>
      </c>
    </row>
    <row r="11">
      <c r="A11">
        <f>HYPERLINK("https://www.tradingview.com/chart/?symbol=NSE:KALYANKJIL","KALYANKJIL")</f>
        <v/>
      </c>
      <c r="B11" t="n">
        <v>32191441</v>
      </c>
      <c r="C11" t="n">
        <v>2039763.310344828</v>
      </c>
      <c r="D11" t="n">
        <v>15.78</v>
      </c>
    </row>
    <row r="12">
      <c r="A12">
        <f>HYPERLINK("https://www.tradingview.com/chart/?symbol=NSE:ALKEM","ALKEM")</f>
        <v/>
      </c>
      <c r="B12" t="n">
        <v>690861</v>
      </c>
      <c r="C12" t="n">
        <v>47677.96551724138</v>
      </c>
      <c r="D12" t="n">
        <v>14.49</v>
      </c>
    </row>
    <row r="13">
      <c r="A13">
        <f>HYPERLINK("https://www.tradingview.com/chart/?symbol=NSE:ANANDRATHI","ANANDRATHI")</f>
        <v/>
      </c>
      <c r="B13" t="n">
        <v>1917684</v>
      </c>
      <c r="C13" t="n">
        <v>139257.0344827586</v>
      </c>
      <c r="D13" t="n">
        <v>13.77</v>
      </c>
    </row>
    <row r="14">
      <c r="A14">
        <f>HYPERLINK("https://www.tradingview.com/chart/?symbol=NSE:TORNTPHARM","TORNTPHARM")</f>
        <v/>
      </c>
      <c r="B14" t="n">
        <v>2099228</v>
      </c>
      <c r="C14" t="n">
        <v>155175.6896551724</v>
      </c>
      <c r="D14" t="n">
        <v>13.53</v>
      </c>
    </row>
    <row r="15">
      <c r="A15">
        <f>HYPERLINK("https://www.tradingview.com/chart/?symbol=NSE:HINDUNILVR","HINDUNILVR")</f>
        <v/>
      </c>
      <c r="B15" t="n">
        <v>12077857</v>
      </c>
      <c r="C15" t="n">
        <v>978360.2413793104</v>
      </c>
      <c r="D15" t="n">
        <v>12.34</v>
      </c>
    </row>
    <row r="16">
      <c r="A16">
        <f>HYPERLINK("https://www.tradingview.com/chart/?symbol=NSE:DABUR","DABUR")</f>
        <v/>
      </c>
      <c r="B16" t="n">
        <v>9076414</v>
      </c>
      <c r="C16" t="n">
        <v>797684.0689655172</v>
      </c>
      <c r="D16" t="n">
        <v>11.38</v>
      </c>
    </row>
    <row r="17">
      <c r="A17">
        <f>HYPERLINK("https://www.tradingview.com/chart/?symbol=NSE:ANTHEM","ANTHEM")</f>
        <v/>
      </c>
      <c r="B17" t="n">
        <v>2190047</v>
      </c>
      <c r="C17" t="n">
        <v>194045.1379310345</v>
      </c>
      <c r="D17" t="n">
        <v>11.29</v>
      </c>
    </row>
    <row r="18">
      <c r="A18">
        <f>HYPERLINK("https://www.tradingview.com/chart/?symbol=NSE:POWERGRID","POWERGRID")</f>
        <v/>
      </c>
      <c r="B18" t="n">
        <v>59567179</v>
      </c>
      <c r="C18" t="n">
        <v>5807963.137931035</v>
      </c>
      <c r="D18" t="n">
        <v>10.26</v>
      </c>
    </row>
    <row r="19">
      <c r="A19">
        <f>HYPERLINK("https://www.tradingview.com/chart/?symbol=NSE:ESCORTS","ESCORTS")</f>
        <v/>
      </c>
      <c r="B19" t="n">
        <v>690887</v>
      </c>
      <c r="C19" t="n">
        <v>69944.75862068965</v>
      </c>
      <c r="D19" t="n">
        <v>9.880000000000001</v>
      </c>
    </row>
    <row r="20">
      <c r="A20">
        <f>HYPERLINK("https://www.tradingview.com/chart/?symbol=NSE:MAXHEALTH","MAXHEALTH")</f>
        <v/>
      </c>
      <c r="B20" t="n">
        <v>11184857</v>
      </c>
      <c r="C20" t="n">
        <v>1196480.620689655</v>
      </c>
      <c r="D20" t="n">
        <v>9.35</v>
      </c>
    </row>
    <row r="21">
      <c r="A21">
        <f>HYPERLINK("https://www.tradingview.com/chart/?symbol=NSE:GMRAIRPORT","GMRAIRPORT")</f>
        <v/>
      </c>
      <c r="B21" t="n">
        <v>63732849</v>
      </c>
      <c r="C21" t="n">
        <v>7171432.172413793</v>
      </c>
      <c r="D21" t="n">
        <v>8.890000000000001</v>
      </c>
    </row>
    <row r="22">
      <c r="A22">
        <f>HYPERLINK("https://www.tradingview.com/chart/?symbol=NSE:MCX","MCX")</f>
        <v/>
      </c>
      <c r="B22" t="n">
        <v>10026277</v>
      </c>
      <c r="C22" t="n">
        <v>1138295</v>
      </c>
      <c r="D22" t="n">
        <v>8.81</v>
      </c>
    </row>
    <row r="23">
      <c r="A23">
        <f>HYPERLINK("https://www.tradingview.com/chart/?symbol=NSE:SUNDARMFIN","SUNDARMFIN")</f>
        <v/>
      </c>
      <c r="B23" t="n">
        <v>288367</v>
      </c>
      <c r="C23" t="n">
        <v>33105.1724137931</v>
      </c>
      <c r="D23" t="n">
        <v>8.710000000000001</v>
      </c>
    </row>
    <row r="24">
      <c r="A24">
        <f>HYPERLINK("https://www.tradingview.com/chart/?symbol=NSE:EIHOTEL","EIHOTEL")</f>
        <v/>
      </c>
      <c r="B24" t="n">
        <v>664952</v>
      </c>
      <c r="C24" t="n">
        <v>78027.10344827586</v>
      </c>
      <c r="D24" t="n">
        <v>8.52</v>
      </c>
    </row>
    <row r="25">
      <c r="A25">
        <f>HYPERLINK("https://www.tradingview.com/chart/?symbol=NSE:JSL","JSL")</f>
        <v/>
      </c>
      <c r="B25" t="n">
        <v>2455821</v>
      </c>
      <c r="C25" t="n">
        <v>288129.6551724138</v>
      </c>
      <c r="D25" t="n">
        <v>8.52</v>
      </c>
    </row>
    <row r="26">
      <c r="A26">
        <f>HYPERLINK("https://www.tradingview.com/chart/?symbol=NSE:BAJFINANCE","BAJFINANCE")</f>
        <v/>
      </c>
      <c r="B26" t="n">
        <v>32611816</v>
      </c>
      <c r="C26" t="n">
        <v>3860633.827586207</v>
      </c>
      <c r="D26" t="n">
        <v>8.449999999999999</v>
      </c>
    </row>
    <row r="27">
      <c r="A27">
        <f>HYPERLINK("https://www.tradingview.com/chart/?symbol=NSE:DMART","DMART")</f>
        <v/>
      </c>
      <c r="B27" t="n">
        <v>1523382</v>
      </c>
      <c r="C27" t="n">
        <v>184534.3793103448</v>
      </c>
      <c r="D27" t="n">
        <v>8.26</v>
      </c>
    </row>
    <row r="28">
      <c r="A28">
        <f>HYPERLINK("https://www.tradingview.com/chart/?symbol=NSE:ASTRAL","ASTRAL")</f>
        <v/>
      </c>
      <c r="B28" t="n">
        <v>2304946</v>
      </c>
      <c r="C28" t="n">
        <v>284429.3103448276</v>
      </c>
      <c r="D28" t="n">
        <v>8.1</v>
      </c>
    </row>
    <row r="29">
      <c r="A29">
        <f>HYPERLINK("https://www.tradingview.com/chart/?symbol=NSE:IDFCFIRSTB","IDFCFIRSTB")</f>
        <v/>
      </c>
      <c r="B29" t="n">
        <v>79066957</v>
      </c>
      <c r="C29" t="n">
        <v>9789754.172413792</v>
      </c>
      <c r="D29" t="n">
        <v>8.08</v>
      </c>
    </row>
    <row r="30">
      <c r="A30">
        <f>HYPERLINK("https://www.tradingview.com/chart/?symbol=NSE:CIPLA","CIPLA")</f>
        <v/>
      </c>
      <c r="B30" t="n">
        <v>6976077</v>
      </c>
      <c r="C30" t="n">
        <v>878567.4827586206</v>
      </c>
      <c r="D30" t="n">
        <v>7.94</v>
      </c>
    </row>
    <row r="31">
      <c r="A31">
        <f>HYPERLINK("https://www.tradingview.com/chart/?symbol=NSE:DLF","DLF")</f>
        <v/>
      </c>
      <c r="B31" t="n">
        <v>10759312</v>
      </c>
      <c r="C31" t="n">
        <v>1377546.344827586</v>
      </c>
      <c r="D31" t="n">
        <v>7.81</v>
      </c>
    </row>
    <row r="32">
      <c r="A32">
        <f>HYPERLINK("https://www.tradingview.com/chart/?symbol=NSE:COALINDIA","COALINDIA")</f>
        <v/>
      </c>
      <c r="B32" t="n">
        <v>59080308</v>
      </c>
      <c r="C32" t="n">
        <v>7675020.75862069</v>
      </c>
      <c r="D32" t="n">
        <v>7.7</v>
      </c>
    </row>
    <row r="33">
      <c r="A33">
        <f>HYPERLINK("https://www.tradingview.com/chart/?symbol=NSE:IREDA","IREDA")</f>
        <v/>
      </c>
      <c r="B33" t="n">
        <v>18857128</v>
      </c>
      <c r="C33" t="n">
        <v>2521414.379310345</v>
      </c>
      <c r="D33" t="n">
        <v>7.48</v>
      </c>
    </row>
    <row r="34">
      <c r="A34">
        <f>HYPERLINK("https://www.tradingview.com/chart/?symbol=NSE:NESTLEIND","NESTLEIND")</f>
        <v/>
      </c>
      <c r="B34" t="n">
        <v>9301624</v>
      </c>
      <c r="C34" t="n">
        <v>1347864.724137931</v>
      </c>
      <c r="D34" t="n">
        <v>6.9</v>
      </c>
    </row>
    <row r="35">
      <c r="A35">
        <f>HYPERLINK("https://www.tradingview.com/chart/?symbol=NSE:ULTRACEMCO","ULTRACEMCO")</f>
        <v/>
      </c>
      <c r="B35" t="n">
        <v>1304073</v>
      </c>
      <c r="C35" t="n">
        <v>189805.9310344828</v>
      </c>
      <c r="D35" t="n">
        <v>6.87</v>
      </c>
    </row>
    <row r="36">
      <c r="A36">
        <f>HYPERLINK("https://www.tradingview.com/chart/?symbol=NSE:BHARTIARTL","BHARTIARTL")</f>
        <v/>
      </c>
      <c r="B36" t="n">
        <v>39726520</v>
      </c>
      <c r="C36" t="n">
        <v>5807277.793103448</v>
      </c>
      <c r="D36" t="n">
        <v>6.84</v>
      </c>
    </row>
    <row r="37">
      <c r="A37">
        <f>HYPERLINK("https://www.tradingview.com/chart/?symbol=NSE:BDL","BDL")</f>
        <v/>
      </c>
      <c r="B37" t="n">
        <v>2428326</v>
      </c>
      <c r="C37" t="n">
        <v>360139.6896551724</v>
      </c>
      <c r="D37" t="n">
        <v>6.74</v>
      </c>
    </row>
    <row r="38">
      <c r="A38">
        <f>HYPERLINK("https://www.tradingview.com/chart/?symbol=NSE:INFY","INFY")</f>
        <v/>
      </c>
      <c r="B38" t="n">
        <v>47911031</v>
      </c>
      <c r="C38" t="n">
        <v>7192303.448275862</v>
      </c>
      <c r="D38" t="n">
        <v>6.66</v>
      </c>
    </row>
    <row r="39">
      <c r="A39">
        <f>HYPERLINK("https://www.tradingview.com/chart/?symbol=NSE:JYOTICNC","JYOTICNC")</f>
        <v/>
      </c>
      <c r="B39" t="n">
        <v>2845405</v>
      </c>
      <c r="C39" t="n">
        <v>429514.5862068966</v>
      </c>
      <c r="D39" t="n">
        <v>6.62</v>
      </c>
    </row>
    <row r="40">
      <c r="A40">
        <f>HYPERLINK("https://www.tradingview.com/chart/?symbol=NSE:PIDILITIND","PIDILITIND")</f>
        <v/>
      </c>
      <c r="B40" t="n">
        <v>3148877</v>
      </c>
      <c r="C40" t="n">
        <v>479648.7586206897</v>
      </c>
      <c r="D40" t="n">
        <v>6.56</v>
      </c>
    </row>
    <row r="41">
      <c r="A41">
        <f>HYPERLINK("https://www.tradingview.com/chart/?symbol=NSE:BOSCHLTD","BOSCHLTD")</f>
        <v/>
      </c>
      <c r="B41" t="n">
        <v>74276</v>
      </c>
      <c r="C41" t="n">
        <v>11453.1724137931</v>
      </c>
      <c r="D41" t="n">
        <v>6.49</v>
      </c>
    </row>
    <row r="42">
      <c r="A42">
        <f>HYPERLINK("https://www.tradingview.com/chart/?symbol=NSE:NHPC","NHPC")</f>
        <v/>
      </c>
      <c r="B42" t="n">
        <v>38231329</v>
      </c>
      <c r="C42" t="n">
        <v>6226313.24137931</v>
      </c>
      <c r="D42" t="n">
        <v>6.14</v>
      </c>
    </row>
    <row r="43">
      <c r="A43">
        <f>HYPERLINK("https://www.tradingview.com/chart/?symbol=NSE:ICICIGI","ICICIGI")</f>
        <v/>
      </c>
      <c r="B43" t="n">
        <v>1963965</v>
      </c>
      <c r="C43" t="n">
        <v>322111.4827586207</v>
      </c>
      <c r="D43" t="n">
        <v>6.1</v>
      </c>
    </row>
    <row r="44">
      <c r="A44">
        <f>HYPERLINK("https://www.tradingview.com/chart/?symbol=NSE:SHREECEM","SHREECEM")</f>
        <v/>
      </c>
      <c r="B44" t="n">
        <v>52867</v>
      </c>
      <c r="C44" t="n">
        <v>8681.655172413793</v>
      </c>
      <c r="D44" t="n">
        <v>6.09</v>
      </c>
    </row>
    <row r="45">
      <c r="A45">
        <f>HYPERLINK("https://www.tradingview.com/chart/?symbol=NSE:ONGC","ONGC")</f>
        <v/>
      </c>
      <c r="B45" t="n">
        <v>51989539</v>
      </c>
      <c r="C45" t="n">
        <v>8606473.793103449</v>
      </c>
      <c r="D45" t="n">
        <v>6.04</v>
      </c>
    </row>
    <row r="46">
      <c r="A46">
        <f>HYPERLINK("https://www.tradingview.com/chart/?symbol=NSE:HAL","HAL")</f>
        <v/>
      </c>
      <c r="B46" t="n">
        <v>3244505</v>
      </c>
      <c r="C46" t="n">
        <v>546737.8965517242</v>
      </c>
      <c r="D46" t="n">
        <v>5.93</v>
      </c>
    </row>
    <row r="47">
      <c r="A47">
        <f>HYPERLINK("https://www.tradingview.com/chart/?symbol=NSE:TATACONSUM","TATACONSUM")</f>
        <v/>
      </c>
      <c r="B47" t="n">
        <v>7236380</v>
      </c>
      <c r="C47" t="n">
        <v>1233687.931034483</v>
      </c>
      <c r="D47" t="n">
        <v>5.87</v>
      </c>
    </row>
    <row r="48">
      <c r="A48">
        <f>HYPERLINK("https://www.tradingview.com/chart/?symbol=NSE:ELGIEQUIP","ELGIEQUIP")</f>
        <v/>
      </c>
      <c r="B48" t="n">
        <v>1284836</v>
      </c>
      <c r="C48" t="n">
        <v>219765.724137931</v>
      </c>
      <c r="D48" t="n">
        <v>5.85</v>
      </c>
    </row>
    <row r="49">
      <c r="A49">
        <f>HYPERLINK("https://www.tradingview.com/chart/?symbol=NSE:SRF","SRF")</f>
        <v/>
      </c>
      <c r="B49" t="n">
        <v>1363557</v>
      </c>
      <c r="C49" t="n">
        <v>241119</v>
      </c>
      <c r="D49" t="n">
        <v>5.66</v>
      </c>
    </row>
    <row r="50">
      <c r="A50">
        <f>HYPERLINK("https://www.tradingview.com/chart/?symbol=NSE:MARICO","MARICO")</f>
        <v/>
      </c>
      <c r="B50" t="n">
        <v>5366903</v>
      </c>
      <c r="C50" t="n">
        <v>962192.9310344828</v>
      </c>
      <c r="D50" t="n">
        <v>5.58</v>
      </c>
    </row>
    <row r="51">
      <c r="A51">
        <f>HYPERLINK("https://www.tradingview.com/chart/?symbol=NSE:TCS","TCS")</f>
        <v/>
      </c>
      <c r="B51" t="n">
        <v>11346245</v>
      </c>
      <c r="C51" t="n">
        <v>2042273</v>
      </c>
      <c r="D51" t="n">
        <v>5.56</v>
      </c>
    </row>
    <row r="52">
      <c r="A52">
        <f>HYPERLINK("https://www.tradingview.com/chart/?symbol=NSE:M&amp;M","M&amp;M")</f>
        <v/>
      </c>
      <c r="B52" t="n">
        <v>8312886</v>
      </c>
      <c r="C52" t="n">
        <v>1505214.896551724</v>
      </c>
      <c r="D52" t="n">
        <v>5.52</v>
      </c>
    </row>
    <row r="53">
      <c r="A53">
        <f>HYPERLINK("https://www.tradingview.com/chart/?symbol=NSE:SIEMENS","SIEMENS")</f>
        <v/>
      </c>
      <c r="B53" t="n">
        <v>974725</v>
      </c>
      <c r="C53" t="n">
        <v>176574.9655172414</v>
      </c>
      <c r="D53" t="n">
        <v>5.52</v>
      </c>
    </row>
    <row r="54">
      <c r="A54">
        <f>HYPERLINK("https://www.tradingview.com/chart/?symbol=NSE:ICICIPRULI","ICICIPRULI")</f>
        <v/>
      </c>
      <c r="B54" t="n">
        <v>4229358</v>
      </c>
      <c r="C54" t="n">
        <v>771820.2068965518</v>
      </c>
      <c r="D54" t="n">
        <v>5.48</v>
      </c>
    </row>
    <row r="55">
      <c r="A55">
        <f>HYPERLINK("https://www.tradingview.com/chart/?symbol=NSE:TENNIND","TENNIND")</f>
        <v/>
      </c>
      <c r="B55" t="n">
        <v>1992217</v>
      </c>
      <c r="C55" t="n">
        <v>373258.7586206897</v>
      </c>
      <c r="D55" t="n">
        <v>5.34</v>
      </c>
    </row>
    <row r="56">
      <c r="A56">
        <f>HYPERLINK("https://www.tradingview.com/chart/?symbol=NSE:NYKAA","NYKAA")</f>
        <v/>
      </c>
      <c r="B56" t="n">
        <v>12261847</v>
      </c>
      <c r="C56" t="n">
        <v>2301986.517241379</v>
      </c>
      <c r="D56" t="n">
        <v>5.33</v>
      </c>
    </row>
    <row r="57">
      <c r="A57">
        <f>HYPERLINK("https://www.tradingview.com/chart/?symbol=NSE:SOLARINDS","SOLARINDS")</f>
        <v/>
      </c>
      <c r="B57" t="n">
        <v>324621</v>
      </c>
      <c r="C57" t="n">
        <v>61256.51724137931</v>
      </c>
      <c r="D57" t="n">
        <v>5.3</v>
      </c>
    </row>
    <row r="58">
      <c r="A58">
        <f>HYPERLINK("https://www.tradingview.com/chart/?symbol=NSE:BALKRISIND","BALKRISIND")</f>
        <v/>
      </c>
      <c r="B58" t="n">
        <v>410293</v>
      </c>
      <c r="C58" t="n">
        <v>78163.93103448275</v>
      </c>
      <c r="D58" t="n">
        <v>5.25</v>
      </c>
    </row>
    <row r="59">
      <c r="A59">
        <f>HYPERLINK("https://www.tradingview.com/chart/?symbol=NSE:JINDALSTEL","JINDALSTEL")</f>
        <v/>
      </c>
      <c r="B59" t="n">
        <v>2639963</v>
      </c>
      <c r="C59" t="n">
        <v>506301.5517241379</v>
      </c>
      <c r="D59" t="n">
        <v>5.21</v>
      </c>
    </row>
    <row r="60">
      <c r="A60">
        <f>HYPERLINK("https://www.tradingview.com/chart/?symbol=NSE:PIIND","PIIND")</f>
        <v/>
      </c>
      <c r="B60" t="n">
        <v>767522</v>
      </c>
      <c r="C60" t="n">
        <v>150102.0689655172</v>
      </c>
      <c r="D60" t="n">
        <v>5.11</v>
      </c>
    </row>
    <row r="61">
      <c r="A61">
        <f>HYPERLINK("https://www.tradingview.com/chart/?symbol=NSE:MANKIND","MANKIND")</f>
        <v/>
      </c>
      <c r="B61" t="n">
        <v>1565751</v>
      </c>
      <c r="C61" t="n">
        <v>309101.724137931</v>
      </c>
      <c r="D61" t="n">
        <v>5.07</v>
      </c>
    </row>
    <row r="62">
      <c r="A62">
        <f>HYPERLINK("https://www.tradingview.com/chart/?symbol=NSE:HAVELLS","HAVELLS")</f>
        <v/>
      </c>
      <c r="B62" t="n">
        <v>3188607</v>
      </c>
      <c r="C62" t="n">
        <v>631017.5172413794</v>
      </c>
      <c r="D62" t="n">
        <v>5.05</v>
      </c>
    </row>
    <row r="63">
      <c r="A63">
        <f>HYPERLINK("https://www.tradingview.com/chart/?symbol=NSE:MOTHERSON","MOTHERSON")</f>
        <v/>
      </c>
      <c r="B63" t="n">
        <v>53796986</v>
      </c>
      <c r="C63" t="n">
        <v>10707540.68965517</v>
      </c>
      <c r="D63" t="n">
        <v>5.02</v>
      </c>
    </row>
    <row r="64">
      <c r="A64">
        <f>HYPERLINK("https://www.tradingview.com/chart/?symbol=NSE:ATGL","ATGL")</f>
        <v/>
      </c>
      <c r="B64" t="n">
        <v>6058575</v>
      </c>
      <c r="C64" t="n">
        <v>1216582.862068966</v>
      </c>
      <c r="D64" t="n">
        <v>4.98</v>
      </c>
    </row>
    <row r="65">
      <c r="A65">
        <f>HYPERLINK("https://www.tradingview.com/chart/?symbol=NSE:PAGEIND","PAGEIND")</f>
        <v/>
      </c>
      <c r="B65" t="n">
        <v>55467</v>
      </c>
      <c r="C65" t="n">
        <v>11461.51724137931</v>
      </c>
      <c r="D65" t="n">
        <v>4.84</v>
      </c>
    </row>
    <row r="66">
      <c r="A66">
        <f>HYPERLINK("https://www.tradingview.com/chart/?symbol=NSE:OBEROIRLTY","OBEROIRLTY")</f>
        <v/>
      </c>
      <c r="B66" t="n">
        <v>903244</v>
      </c>
      <c r="C66" t="n">
        <v>187511.6896551724</v>
      </c>
      <c r="D66" t="n">
        <v>4.82</v>
      </c>
    </row>
    <row r="67">
      <c r="A67">
        <f>HYPERLINK("https://www.tradingview.com/chart/?symbol=NSE:CPPLUS","CPPLUS")</f>
        <v/>
      </c>
      <c r="B67" t="n">
        <v>622214</v>
      </c>
      <c r="C67" t="n">
        <v>130021.1724137931</v>
      </c>
      <c r="D67" t="n">
        <v>4.79</v>
      </c>
    </row>
    <row r="68">
      <c r="A68">
        <f>HYPERLINK("https://www.tradingview.com/chart/?symbol=NSE:LTM","LTM")</f>
        <v/>
      </c>
      <c r="B68" t="n">
        <v>743277</v>
      </c>
      <c r="C68" t="n">
        <v>156693.9655172414</v>
      </c>
      <c r="D68" t="n">
        <v>4.74</v>
      </c>
    </row>
    <row r="69">
      <c r="A69">
        <f>HYPERLINK("https://www.tradingview.com/chart/?symbol=NSE:LODHA","LODHA")</f>
        <v/>
      </c>
      <c r="B69" t="n">
        <v>5338250</v>
      </c>
      <c r="C69" t="n">
        <v>1142528.862068966</v>
      </c>
      <c r="D69" t="n">
        <v>4.67</v>
      </c>
    </row>
    <row r="70">
      <c r="A70">
        <f>HYPERLINK("https://www.tradingview.com/chart/?symbol=NSE:OLAELEC","OLAELEC")</f>
        <v/>
      </c>
      <c r="B70" t="n">
        <v>81038310</v>
      </c>
      <c r="C70" t="n">
        <v>17653466</v>
      </c>
      <c r="D70" t="n">
        <v>4.59</v>
      </c>
    </row>
    <row r="71">
      <c r="A71">
        <f>HYPERLINK("https://www.tradingview.com/chart/?symbol=NSE:UNIONBANK","UNIONBANK")</f>
        <v/>
      </c>
      <c r="B71" t="n">
        <v>31223742</v>
      </c>
      <c r="C71" t="n">
        <v>6821905.724137931</v>
      </c>
      <c r="D71" t="n">
        <v>4.58</v>
      </c>
    </row>
    <row r="72">
      <c r="A72">
        <f>HYPERLINK("https://www.tradingview.com/chart/?symbol=NSE:WOCKPHARMA","WOCKPHARMA")</f>
        <v/>
      </c>
      <c r="B72" t="n">
        <v>2199226</v>
      </c>
      <c r="C72" t="n">
        <v>481530.8965517241</v>
      </c>
      <c r="D72" t="n">
        <v>4.57</v>
      </c>
    </row>
    <row r="73">
      <c r="A73">
        <f>HYPERLINK("https://www.tradingview.com/chart/?symbol=NSE:CUMMINSIND","CUMMINSIND")</f>
        <v/>
      </c>
      <c r="B73" t="n">
        <v>1081201</v>
      </c>
      <c r="C73" t="n">
        <v>238895.2413793103</v>
      </c>
      <c r="D73" t="n">
        <v>4.53</v>
      </c>
    </row>
    <row r="74">
      <c r="A74">
        <f>HYPERLINK("https://www.tradingview.com/chart/?symbol=NSE:NATCOPHARM","NATCOPHARM")</f>
        <v/>
      </c>
      <c r="B74" t="n">
        <v>1048377</v>
      </c>
      <c r="C74" t="n">
        <v>232972.4482758621</v>
      </c>
      <c r="D74" t="n">
        <v>4.5</v>
      </c>
    </row>
    <row r="75">
      <c r="A75">
        <f>HYPERLINK("https://www.tradingview.com/chart/?symbol=NSE:NAUKRI","NAUKRI")</f>
        <v/>
      </c>
      <c r="B75" t="n">
        <v>5558418</v>
      </c>
      <c r="C75" t="n">
        <v>1239583.551724138</v>
      </c>
      <c r="D75" t="n">
        <v>4.48</v>
      </c>
    </row>
    <row r="76">
      <c r="A76">
        <f>HYPERLINK("https://www.tradingview.com/chart/?symbol=NSE:COLPAL","COLPAL")</f>
        <v/>
      </c>
      <c r="B76" t="n">
        <v>784218</v>
      </c>
      <c r="C76" t="n">
        <v>177827.0344827586</v>
      </c>
      <c r="D76" t="n">
        <v>4.41</v>
      </c>
    </row>
    <row r="77">
      <c r="A77">
        <f>HYPERLINK("https://www.tradingview.com/chart/?symbol=NSE:SBICARD","SBICARD")</f>
        <v/>
      </c>
      <c r="B77" t="n">
        <v>2884898</v>
      </c>
      <c r="C77" t="n">
        <v>655186.3448275862</v>
      </c>
      <c r="D77" t="n">
        <v>4.4</v>
      </c>
    </row>
    <row r="78">
      <c r="A78">
        <f>HYPERLINK("https://www.tradingview.com/chart/?symbol=NSE:VOLTAS","VOLTAS")</f>
        <v/>
      </c>
      <c r="B78" t="n">
        <v>1888500</v>
      </c>
      <c r="C78" t="n">
        <v>430411.3448275862</v>
      </c>
      <c r="D78" t="n">
        <v>4.39</v>
      </c>
    </row>
    <row r="79">
      <c r="A79">
        <f>HYPERLINK("https://www.tradingview.com/chart/?symbol=NSE:NETWEB","NETWEB")</f>
        <v/>
      </c>
      <c r="B79" t="n">
        <v>1377793</v>
      </c>
      <c r="C79" t="n">
        <v>313696.724137931</v>
      </c>
      <c r="D79" t="n">
        <v>4.39</v>
      </c>
    </row>
    <row r="80">
      <c r="A80">
        <f>HYPERLINK("https://www.tradingview.com/chart/?symbol=NSE:TMPV","TMPV")</f>
        <v/>
      </c>
      <c r="B80" t="n">
        <v>19866192</v>
      </c>
      <c r="C80" t="n">
        <v>4521975.620689655</v>
      </c>
      <c r="D80" t="n">
        <v>4.39</v>
      </c>
    </row>
    <row r="81">
      <c r="A81">
        <f>HYPERLINK("https://www.tradingview.com/chart/?symbol=NSE:ABFRL","ABFRL")</f>
        <v/>
      </c>
      <c r="B81" t="n">
        <v>10253464</v>
      </c>
      <c r="C81" t="n">
        <v>2346839.965517242</v>
      </c>
      <c r="D81" t="n">
        <v>4.37</v>
      </c>
    </row>
    <row r="82">
      <c r="A82">
        <f>HYPERLINK("https://www.tradingview.com/chart/?symbol=NSE:ASHOKLEY","ASHOKLEY")</f>
        <v/>
      </c>
      <c r="B82" t="n">
        <v>43454128</v>
      </c>
      <c r="C82" t="n">
        <v>10036554.4137931</v>
      </c>
      <c r="D82" t="n">
        <v>4.33</v>
      </c>
    </row>
    <row r="83">
      <c r="A83">
        <f>HYPERLINK("https://www.tradingview.com/chart/?symbol=NSE:MRF","MRF")</f>
        <v/>
      </c>
      <c r="B83" t="n">
        <v>11866</v>
      </c>
      <c r="C83" t="n">
        <v>2765.586206896552</v>
      </c>
      <c r="D83" t="n">
        <v>4.29</v>
      </c>
    </row>
    <row r="84">
      <c r="A84">
        <f>HYPERLINK("https://www.tradingview.com/chart/?symbol=NSE:EICHERMOT","EICHERMOT")</f>
        <v/>
      </c>
      <c r="B84" t="n">
        <v>960914</v>
      </c>
      <c r="C84" t="n">
        <v>226864.4827586207</v>
      </c>
      <c r="D84" t="n">
        <v>4.24</v>
      </c>
    </row>
    <row r="85">
      <c r="A85">
        <f>HYPERLINK("https://www.tradingview.com/chart/?symbol=NSE:AEGISLOG","AEGISLOG")</f>
        <v/>
      </c>
      <c r="B85" t="n">
        <v>932686</v>
      </c>
      <c r="C85" t="n">
        <v>222285.6551724138</v>
      </c>
      <c r="D85" t="n">
        <v>4.2</v>
      </c>
    </row>
    <row r="86">
      <c r="A86">
        <f>HYPERLINK("https://www.tradingview.com/chart/?symbol=NSE:THERMAX","THERMAX")</f>
        <v/>
      </c>
      <c r="B86" t="n">
        <v>535594</v>
      </c>
      <c r="C86" t="n">
        <v>127824.4827586207</v>
      </c>
      <c r="D86" t="n">
        <v>4.19</v>
      </c>
    </row>
    <row r="87">
      <c r="A87">
        <f>HYPERLINK("https://www.tradingview.com/chart/?symbol=NSE:CANBK","CANBK")</f>
        <v/>
      </c>
      <c r="B87" t="n">
        <v>39361207</v>
      </c>
      <c r="C87" t="n">
        <v>9414959.827586208</v>
      </c>
      <c r="D87" t="n">
        <v>4.18</v>
      </c>
    </row>
    <row r="88">
      <c r="A88">
        <f>HYPERLINK("https://www.tradingview.com/chart/?symbol=NSE:PETRONET","PETRONET")</f>
        <v/>
      </c>
      <c r="B88" t="n">
        <v>6132202</v>
      </c>
      <c r="C88" t="n">
        <v>1473317.75862069</v>
      </c>
      <c r="D88" t="n">
        <v>4.16</v>
      </c>
    </row>
    <row r="89">
      <c r="A89">
        <f>HYPERLINK("https://www.tradingview.com/chart/?symbol=NSE:ASIANPAINT","ASIANPAINT")</f>
        <v/>
      </c>
      <c r="B89" t="n">
        <v>2033466</v>
      </c>
      <c r="C89" t="n">
        <v>489926.0689655172</v>
      </c>
      <c r="D89" t="n">
        <v>4.15</v>
      </c>
    </row>
    <row r="90">
      <c r="A90">
        <f>HYPERLINK("https://www.tradingview.com/chart/?symbol=NSE:BRITANNIA","BRITANNIA")</f>
        <v/>
      </c>
      <c r="B90" t="n">
        <v>1230606</v>
      </c>
      <c r="C90" t="n">
        <v>296239</v>
      </c>
      <c r="D90" t="n">
        <v>4.15</v>
      </c>
    </row>
    <row r="91">
      <c r="A91">
        <f>HYPERLINK("https://www.tradingview.com/chart/?symbol=NSE:GODREJPROP","GODREJPROP")</f>
        <v/>
      </c>
      <c r="B91" t="n">
        <v>1414345</v>
      </c>
      <c r="C91" t="n">
        <v>342745.1724137931</v>
      </c>
      <c r="D91" t="n">
        <v>4.13</v>
      </c>
    </row>
    <row r="92">
      <c r="A92">
        <f>HYPERLINK("https://www.tradingview.com/chart/?symbol=NSE:UPL","UPL")</f>
        <v/>
      </c>
      <c r="B92" t="n">
        <v>4380772</v>
      </c>
      <c r="C92" t="n">
        <v>1061325.724137931</v>
      </c>
      <c r="D92" t="n">
        <v>4.13</v>
      </c>
    </row>
    <row r="93">
      <c r="A93">
        <f>HYPERLINK("https://www.tradingview.com/chart/?symbol=NSE:BIKAJI","BIKAJI")</f>
        <v/>
      </c>
      <c r="B93" t="n">
        <v>304600</v>
      </c>
      <c r="C93" t="n">
        <v>74972.31034482758</v>
      </c>
      <c r="D93" t="n">
        <v>4.06</v>
      </c>
    </row>
    <row r="94">
      <c r="A94">
        <f>HYPERLINK("https://www.tradingview.com/chart/?symbol=NSE:HEROMOTOCO","HEROMOTOCO")</f>
        <v/>
      </c>
      <c r="B94" t="n">
        <v>1081382</v>
      </c>
      <c r="C94" t="n">
        <v>266481.7586206897</v>
      </c>
      <c r="D94" t="n">
        <v>4.06</v>
      </c>
    </row>
    <row r="95">
      <c r="A95">
        <f>HYPERLINK("https://www.tradingview.com/chart/?symbol=NSE:WAAREEENER","WAAREEENER")</f>
        <v/>
      </c>
      <c r="B95" t="n">
        <v>2484561</v>
      </c>
      <c r="C95" t="n">
        <v>614950.2413793104</v>
      </c>
      <c r="D95" t="n">
        <v>4.04</v>
      </c>
    </row>
    <row r="96">
      <c r="A96">
        <f>HYPERLINK("https://www.tradingview.com/chart/?symbol=NSE:ZYDUSLIFE","ZYDUSLIFE")</f>
        <v/>
      </c>
      <c r="B96" t="n">
        <v>2846084</v>
      </c>
      <c r="C96" t="n">
        <v>708362.551724138</v>
      </c>
      <c r="D96" t="n">
        <v>4.02</v>
      </c>
    </row>
    <row r="97">
      <c r="A97">
        <f>HYPERLINK("https://www.tradingview.com/chart/?symbol=NSE:MGL","MGL")</f>
        <v/>
      </c>
      <c r="B97" t="n">
        <v>399087</v>
      </c>
      <c r="C97" t="n">
        <v>100517.5517241379</v>
      </c>
      <c r="D97" t="n">
        <v>3.97</v>
      </c>
    </row>
    <row r="98">
      <c r="A98">
        <f>HYPERLINK("https://www.tradingview.com/chart/?symbol=NSE:RHIM","RHIM")</f>
        <v/>
      </c>
      <c r="B98" t="n">
        <v>404910</v>
      </c>
      <c r="C98" t="n">
        <v>103559.3448275862</v>
      </c>
      <c r="D98" t="n">
        <v>3.91</v>
      </c>
    </row>
    <row r="99">
      <c r="A99">
        <f>HYPERLINK("https://www.tradingview.com/chart/?symbol=NSE:GLAXO","GLAXO")</f>
        <v/>
      </c>
      <c r="B99" t="n">
        <v>224742</v>
      </c>
      <c r="C99" t="n">
        <v>57806.20689655172</v>
      </c>
      <c r="D99" t="n">
        <v>3.89</v>
      </c>
    </row>
    <row r="100">
      <c r="A100">
        <f>HYPERLINK("https://www.tradingview.com/chart/?symbol=NSE:GODIGIT","GODIGIT")</f>
        <v/>
      </c>
      <c r="B100" t="n">
        <v>554928</v>
      </c>
      <c r="C100" t="n">
        <v>144047.8965517241</v>
      </c>
      <c r="D100" t="n">
        <v>3.85</v>
      </c>
    </row>
    <row r="101">
      <c r="A101">
        <f>HYPERLINK("https://www.tradingview.com/chart/?symbol=NSE:PINELABS","PINELABS")</f>
        <v/>
      </c>
      <c r="B101" t="n">
        <v>22241983</v>
      </c>
      <c r="C101" t="n">
        <v>5926808.448275862</v>
      </c>
      <c r="D101" t="n">
        <v>3.75</v>
      </c>
    </row>
    <row r="102">
      <c r="A102">
        <f>HYPERLINK("https://www.tradingview.com/chart/?symbol=NSE:BAJAJHLDNG","BAJAJHLDNG")</f>
        <v/>
      </c>
      <c r="B102" t="n">
        <v>66807</v>
      </c>
      <c r="C102" t="n">
        <v>17866.65517241379</v>
      </c>
      <c r="D102" t="n">
        <v>3.74</v>
      </c>
    </row>
    <row r="103">
      <c r="A103">
        <f>HYPERLINK("https://www.tradingview.com/chart/?symbol=NSE:SIGNATURE","SIGNATURE")</f>
        <v/>
      </c>
      <c r="B103" t="n">
        <v>152800</v>
      </c>
      <c r="C103" t="n">
        <v>41087.48275862069</v>
      </c>
      <c r="D103" t="n">
        <v>3.72</v>
      </c>
    </row>
    <row r="104">
      <c r="A104">
        <f>HYPERLINK("https://www.tradingview.com/chart/?symbol=NSE:PHOENIXLTD","PHOENIXLTD")</f>
        <v/>
      </c>
      <c r="B104" t="n">
        <v>791758</v>
      </c>
      <c r="C104" t="n">
        <v>214706.5517241379</v>
      </c>
      <c r="D104" t="n">
        <v>3.69</v>
      </c>
    </row>
    <row r="105">
      <c r="A105">
        <f>HYPERLINK("https://www.tradingview.com/chart/?symbol=NSE:GABRIEL","GABRIEL")</f>
        <v/>
      </c>
      <c r="B105" t="n">
        <v>638245</v>
      </c>
      <c r="C105" t="n">
        <v>174906.1379310345</v>
      </c>
      <c r="D105" t="n">
        <v>3.65</v>
      </c>
    </row>
    <row r="106">
      <c r="A106">
        <f>HYPERLINK("https://www.tradingview.com/chart/?symbol=NSE:BHARATFORG","BHARATFORG")</f>
        <v/>
      </c>
      <c r="B106" t="n">
        <v>2117651</v>
      </c>
      <c r="C106" t="n">
        <v>581246.1379310344</v>
      </c>
      <c r="D106" t="n">
        <v>3.64</v>
      </c>
    </row>
    <row r="107">
      <c r="A107">
        <f>HYPERLINK("https://www.tradingview.com/chart/?symbol=NSE:ANURAS","ANURAS")</f>
        <v/>
      </c>
      <c r="B107" t="n">
        <v>591180</v>
      </c>
      <c r="C107" t="n">
        <v>162873.9310344828</v>
      </c>
      <c r="D107" t="n">
        <v>3.63</v>
      </c>
    </row>
    <row r="108">
      <c r="A108">
        <f>HYPERLINK("https://www.tradingview.com/chart/?symbol=NSE:YESBANK","YESBANK")</f>
        <v/>
      </c>
      <c r="B108" t="n">
        <v>176039546</v>
      </c>
      <c r="C108" t="n">
        <v>48637342.34482758</v>
      </c>
      <c r="D108" t="n">
        <v>3.62</v>
      </c>
    </row>
    <row r="109">
      <c r="A109">
        <f>HYPERLINK("https://www.tradingview.com/chart/?symbol=NSE:POWERINDIA","POWERINDIA")</f>
        <v/>
      </c>
      <c r="B109" t="n">
        <v>171352</v>
      </c>
      <c r="C109" t="n">
        <v>47325.03448275862</v>
      </c>
      <c r="D109" t="n">
        <v>3.62</v>
      </c>
    </row>
    <row r="110">
      <c r="A110">
        <f>HYPERLINK("https://www.tradingview.com/chart/?symbol=NSE:IOC","IOC")</f>
        <v/>
      </c>
      <c r="B110" t="n">
        <v>23902714</v>
      </c>
      <c r="C110" t="n">
        <v>6641020.206896552</v>
      </c>
      <c r="D110" t="n">
        <v>3.6</v>
      </c>
    </row>
    <row r="111">
      <c r="A111">
        <f>HYPERLINK("https://www.tradingview.com/chart/?symbol=NSE:TATASTEEL","TATASTEEL")</f>
        <v/>
      </c>
      <c r="B111" t="n">
        <v>45721245</v>
      </c>
      <c r="C111" t="n">
        <v>12743853.37931035</v>
      </c>
      <c r="D111" t="n">
        <v>3.59</v>
      </c>
    </row>
    <row r="112">
      <c r="A112">
        <f>HYPERLINK("https://www.tradingview.com/chart/?symbol=NSE:GVT&amp;D","GVT&amp;D")</f>
        <v/>
      </c>
      <c r="B112" t="n">
        <v>1503256</v>
      </c>
      <c r="C112" t="n">
        <v>421574.7586206897</v>
      </c>
      <c r="D112" t="n">
        <v>3.57</v>
      </c>
    </row>
    <row r="113">
      <c r="A113">
        <f>HYPERLINK("https://www.tradingview.com/chart/?symbol=NSE:HOMEFIRST","HOMEFIRST")</f>
        <v/>
      </c>
      <c r="B113" t="n">
        <v>393451</v>
      </c>
      <c r="C113" t="n">
        <v>111502.275862069</v>
      </c>
      <c r="D113" t="n">
        <v>3.53</v>
      </c>
    </row>
    <row r="114">
      <c r="A114">
        <f>HYPERLINK("https://www.tradingview.com/chart/?symbol=NSE:EMAMILTD","EMAMILTD")</f>
        <v/>
      </c>
      <c r="B114" t="n">
        <v>798723</v>
      </c>
      <c r="C114" t="n">
        <v>226863.5862068966</v>
      </c>
      <c r="D114" t="n">
        <v>3.52</v>
      </c>
    </row>
    <row r="115">
      <c r="A115">
        <f>HYPERLINK("https://www.tradingview.com/chart/?symbol=NSE:SWIGGY","SWIGGY")</f>
        <v/>
      </c>
      <c r="B115" t="n">
        <v>16283871</v>
      </c>
      <c r="C115" t="n">
        <v>4639044.275862069</v>
      </c>
      <c r="D115" t="n">
        <v>3.51</v>
      </c>
    </row>
    <row r="116">
      <c r="A116">
        <f>HYPERLINK("https://www.tradingview.com/chart/?symbol=NSE:PFC","PFC")</f>
        <v/>
      </c>
      <c r="B116" t="n">
        <v>11759018</v>
      </c>
      <c r="C116" t="n">
        <v>3357191.275862069</v>
      </c>
      <c r="D116" t="n">
        <v>3.5</v>
      </c>
    </row>
    <row r="117">
      <c r="A117">
        <f>HYPERLINK("https://www.tradingview.com/chart/?symbol=NSE:EMMVEE","EMMVEE")</f>
        <v/>
      </c>
      <c r="B117" t="n">
        <v>8135844</v>
      </c>
      <c r="C117" t="n">
        <v>2330476.172413793</v>
      </c>
      <c r="D117" t="n">
        <v>3.49</v>
      </c>
    </row>
    <row r="118">
      <c r="A118">
        <f>HYPERLINK("https://www.tradingview.com/chart/?symbol=NSE:NUVOCO","NUVOCO")</f>
        <v/>
      </c>
      <c r="B118" t="n">
        <v>860331</v>
      </c>
      <c r="C118" t="n">
        <v>247198.7931034483</v>
      </c>
      <c r="D118" t="n">
        <v>3.48</v>
      </c>
    </row>
    <row r="119">
      <c r="A119">
        <f>HYPERLINK("https://www.tradingview.com/chart/?symbol=NSE:MUTHOOTFIN","MUTHOOTFIN")</f>
        <v/>
      </c>
      <c r="B119" t="n">
        <v>1176495</v>
      </c>
      <c r="C119" t="n">
        <v>337999.275862069</v>
      </c>
      <c r="D119" t="n">
        <v>3.48</v>
      </c>
    </row>
    <row r="120">
      <c r="A120">
        <f>HYPERLINK("https://www.tradingview.com/chart/?symbol=NSE:MAPMYINDIA","MAPMYINDIA")</f>
        <v/>
      </c>
      <c r="B120" t="n">
        <v>321681</v>
      </c>
      <c r="C120" t="n">
        <v>92575.79310344828</v>
      </c>
      <c r="D120" t="n">
        <v>3.47</v>
      </c>
    </row>
    <row r="121">
      <c r="A121">
        <f>HYPERLINK("https://www.tradingview.com/chart/?symbol=NSE:HDFCBANK","HDFCBANK")</f>
        <v/>
      </c>
      <c r="B121" t="n">
        <v>69804226</v>
      </c>
      <c r="C121" t="n">
        <v>20156001.34482758</v>
      </c>
      <c r="D121" t="n">
        <v>3.46</v>
      </c>
    </row>
    <row r="122">
      <c r="A122">
        <f>HYPERLINK("https://www.tradingview.com/chart/?symbol=NSE:APLAPOLLO","APLAPOLLO")</f>
        <v/>
      </c>
      <c r="B122" t="n">
        <v>1317181</v>
      </c>
      <c r="C122" t="n">
        <v>383631.9310344828</v>
      </c>
      <c r="D122" t="n">
        <v>3.43</v>
      </c>
    </row>
    <row r="123">
      <c r="A123">
        <f>HYPERLINK("https://www.tradingview.com/chart/?symbol=NSE:CGPOWER","CGPOWER")</f>
        <v/>
      </c>
      <c r="B123" t="n">
        <v>5745021</v>
      </c>
      <c r="C123" t="n">
        <v>1680251.379310345</v>
      </c>
      <c r="D123" t="n">
        <v>3.42</v>
      </c>
    </row>
    <row r="124">
      <c r="A124">
        <f>HYPERLINK("https://www.tradingview.com/chart/?symbol=NSE:BLUEJET","BLUEJET")</f>
        <v/>
      </c>
      <c r="B124" t="n">
        <v>714347</v>
      </c>
      <c r="C124" t="n">
        <v>213509.4827586207</v>
      </c>
      <c r="D124" t="n">
        <v>3.35</v>
      </c>
    </row>
    <row r="125">
      <c r="A125">
        <f>HYPERLINK("https://www.tradingview.com/chart/?symbol=NSE:OFSS","OFSS")</f>
        <v/>
      </c>
      <c r="B125" t="n">
        <v>389433</v>
      </c>
      <c r="C125" t="n">
        <v>116108.1379310345</v>
      </c>
      <c r="D125" t="n">
        <v>3.35</v>
      </c>
    </row>
    <row r="126">
      <c r="A126">
        <f>HYPERLINK("https://www.tradingview.com/chart/?symbol=NSE:RELIANCE","RELIANCE")</f>
        <v/>
      </c>
      <c r="B126" t="n">
        <v>31551860</v>
      </c>
      <c r="C126" t="n">
        <v>9405364.199999999</v>
      </c>
      <c r="D126" t="n">
        <v>3.35</v>
      </c>
    </row>
    <row r="127">
      <c r="A127">
        <f>HYPERLINK("https://www.tradingview.com/chart/?symbol=NSE:ENRIN","ENRIN")</f>
        <v/>
      </c>
      <c r="B127" t="n">
        <v>1029467</v>
      </c>
      <c r="C127" t="n">
        <v>313982.0689655172</v>
      </c>
      <c r="D127" t="n">
        <v>3.28</v>
      </c>
    </row>
    <row r="128">
      <c r="A128">
        <f>HYPERLINK("https://www.tradingview.com/chart/?symbol=NSE:AUBANK","AUBANK")</f>
        <v/>
      </c>
      <c r="B128" t="n">
        <v>3357475</v>
      </c>
      <c r="C128" t="n">
        <v>1028537.655172414</v>
      </c>
      <c r="D128" t="n">
        <v>3.26</v>
      </c>
    </row>
    <row r="129">
      <c r="A129">
        <f>HYPERLINK("https://www.tradingview.com/chart/?symbol=NSE:ABLBL","ABLBL")</f>
        <v/>
      </c>
      <c r="B129" t="n">
        <v>1888428</v>
      </c>
      <c r="C129" t="n">
        <v>582614.3793103448</v>
      </c>
      <c r="D129" t="n">
        <v>3.24</v>
      </c>
    </row>
    <row r="130">
      <c r="A130">
        <f>HYPERLINK("https://www.tradingview.com/chart/?symbol=NSE:TMCV","TMCV")</f>
        <v/>
      </c>
      <c r="B130" t="n">
        <v>13023194</v>
      </c>
      <c r="C130" t="n">
        <v>4072819.862068966</v>
      </c>
      <c r="D130" t="n">
        <v>3.2</v>
      </c>
    </row>
    <row r="131">
      <c r="A131">
        <f>HYPERLINK("https://www.tradingview.com/chart/?symbol=NSE:ABB","ABB")</f>
        <v/>
      </c>
      <c r="B131" t="n">
        <v>612181</v>
      </c>
      <c r="C131" t="n">
        <v>191078.0344827586</v>
      </c>
      <c r="D131" t="n">
        <v>3.2</v>
      </c>
    </row>
    <row r="132">
      <c r="A132">
        <f>HYPERLINK("https://www.tradingview.com/chart/?symbol=NSE:NMDC","NMDC")</f>
        <v/>
      </c>
      <c r="B132" t="n">
        <v>31254027</v>
      </c>
      <c r="C132" t="n">
        <v>9836985.379310345</v>
      </c>
      <c r="D132" t="n">
        <v>3.18</v>
      </c>
    </row>
    <row r="133">
      <c r="A133">
        <f>HYPERLINK("https://www.tradingview.com/chart/?symbol=NSE:COROMANDEL","COROMANDEL")</f>
        <v/>
      </c>
      <c r="B133" t="n">
        <v>751477</v>
      </c>
      <c r="C133" t="n">
        <v>237972.3448275862</v>
      </c>
      <c r="D133" t="n">
        <v>3.16</v>
      </c>
    </row>
    <row r="134">
      <c r="A134">
        <f>HYPERLINK("https://www.tradingview.com/chart/?symbol=NSE:IGIL","IGIL")</f>
        <v/>
      </c>
      <c r="B134" t="n">
        <v>705458</v>
      </c>
      <c r="C134" t="n">
        <v>223344.1724137931</v>
      </c>
      <c r="D134" t="n">
        <v>3.16</v>
      </c>
    </row>
    <row r="135">
      <c r="A135">
        <f>HYPERLINK("https://www.tradingview.com/chart/?symbol=NSE:MARUTI","MARUTI")</f>
        <v/>
      </c>
      <c r="B135" t="n">
        <v>647104</v>
      </c>
      <c r="C135" t="n">
        <v>205153.0344827586</v>
      </c>
      <c r="D135" t="n">
        <v>3.15</v>
      </c>
    </row>
    <row r="136">
      <c r="A136">
        <f>HYPERLINK("https://www.tradingview.com/chart/?symbol=NSE:JSWENERGY","JSWENERGY")</f>
        <v/>
      </c>
      <c r="B136" t="n">
        <v>5806518</v>
      </c>
      <c r="C136" t="n">
        <v>1845928.75862069</v>
      </c>
      <c r="D136" t="n">
        <v>3.15</v>
      </c>
    </row>
    <row r="137">
      <c r="A137">
        <f>HYPERLINK("https://www.tradingview.com/chart/?symbol=NSE:JPPOWER","JPPOWER")</f>
        <v/>
      </c>
      <c r="B137" t="n">
        <v>193115945</v>
      </c>
      <c r="C137" t="n">
        <v>61392956.06896552</v>
      </c>
      <c r="D137" t="n">
        <v>3.15</v>
      </c>
    </row>
    <row r="138">
      <c r="A138">
        <f>HYPERLINK("https://www.tradingview.com/chart/?symbol=NSE:OIL","OIL")</f>
        <v/>
      </c>
      <c r="B138" t="n">
        <v>6734573</v>
      </c>
      <c r="C138" t="n">
        <v>2152003.896551724</v>
      </c>
      <c r="D138" t="n">
        <v>3.13</v>
      </c>
    </row>
    <row r="139">
      <c r="A139">
        <f>HYPERLINK("https://www.tradingview.com/chart/?symbol=NSE:LUPIN","LUPIN")</f>
        <v/>
      </c>
      <c r="B139" t="n">
        <v>2136553</v>
      </c>
      <c r="C139" t="n">
        <v>682565.1034482758</v>
      </c>
      <c r="D139" t="n">
        <v>3.13</v>
      </c>
    </row>
    <row r="140">
      <c r="A140">
        <f>HYPERLINK("https://www.tradingview.com/chart/?symbol=NSE:DRREDDY","DRREDDY")</f>
        <v/>
      </c>
      <c r="B140" t="n">
        <v>3989603</v>
      </c>
      <c r="C140" t="n">
        <v>1278405.793103448</v>
      </c>
      <c r="D140" t="n">
        <v>3.12</v>
      </c>
    </row>
    <row r="141">
      <c r="A141">
        <f>HYPERLINK("https://www.tradingview.com/chart/?symbol=NSE:GAIL","GAIL")</f>
        <v/>
      </c>
      <c r="B141" t="n">
        <v>17643397</v>
      </c>
      <c r="C141" t="n">
        <v>5677668.620689655</v>
      </c>
      <c r="D141" t="n">
        <v>3.11</v>
      </c>
    </row>
    <row r="142">
      <c r="A142">
        <f>HYPERLINK("https://www.tradingview.com/chart/?symbol=NSE:MPHASIS","MPHASIS")</f>
        <v/>
      </c>
      <c r="B142" t="n">
        <v>721501</v>
      </c>
      <c r="C142" t="n">
        <v>233863.6206896552</v>
      </c>
      <c r="D142" t="n">
        <v>3.09</v>
      </c>
    </row>
    <row r="143">
      <c r="A143">
        <f>HYPERLINK("https://www.tradingview.com/chart/?symbol=NSE:ACMESOLAR","ACMESOLAR")</f>
        <v/>
      </c>
      <c r="B143" t="n">
        <v>2197784</v>
      </c>
      <c r="C143" t="n">
        <v>719303.8620689656</v>
      </c>
      <c r="D143" t="n">
        <v>3.06</v>
      </c>
    </row>
    <row r="144">
      <c r="A144">
        <f>HYPERLINK("https://www.tradingview.com/chart/?symbol=NSE:BEL","BEL")</f>
        <v/>
      </c>
      <c r="B144" t="n">
        <v>18343498</v>
      </c>
      <c r="C144" t="n">
        <v>6058592.103448275</v>
      </c>
      <c r="D144" t="n">
        <v>3.03</v>
      </c>
    </row>
    <row r="145">
      <c r="A145">
        <f>HYPERLINK("https://www.tradingview.com/chart/?symbol=NSE:HCLTECH","HCLTECH")</f>
        <v/>
      </c>
      <c r="B145" t="n">
        <v>7012885</v>
      </c>
      <c r="C145" t="n">
        <v>2341385.24137931</v>
      </c>
      <c r="D1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2026-06-01T21:52:26Z</dcterms:created>
  <dcterms:modified xsi:type="dcterms:W3CDTF">2026-06-01T21:52:26Z</dcterms:modified>
</cp:coreProperties>
</file>