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HYPERLINK("https://www.tradingview.com/chart/?symbol=NSE:HEXT","HEXT")</f>
        <v/>
      </c>
      <c r="B2" t="n">
        <v>4010507</v>
      </c>
      <c r="C2" t="n">
        <v>391847.0689655172</v>
      </c>
      <c r="D2" t="n">
        <v>10.23</v>
      </c>
    </row>
    <row r="3">
      <c r="A3">
        <f>HYPERLINK("https://www.tradingview.com/chart/?symbol=NSE:RITES","RITES")</f>
        <v/>
      </c>
      <c r="B3" t="n">
        <v>3578932</v>
      </c>
      <c r="C3" t="n">
        <v>354012.7586206897</v>
      </c>
      <c r="D3" t="n">
        <v>10.11</v>
      </c>
    </row>
    <row r="4">
      <c r="A4">
        <f>HYPERLINK("https://www.tradingview.com/chart/?symbol=NSE:TRENT","TRENT")</f>
        <v/>
      </c>
      <c r="B4" t="n">
        <v>3654179</v>
      </c>
      <c r="C4" t="n">
        <v>591474.724137931</v>
      </c>
      <c r="D4" t="n">
        <v>6.18</v>
      </c>
    </row>
    <row r="5">
      <c r="A5">
        <f>HYPERLINK("https://www.tradingview.com/chart/?symbol=NSE:ONESOURCE","ONESOURCE")</f>
        <v/>
      </c>
      <c r="B5" t="n">
        <v>669970</v>
      </c>
      <c r="C5" t="n">
        <v>113873.5172413793</v>
      </c>
      <c r="D5" t="n">
        <v>5.88</v>
      </c>
    </row>
    <row r="6">
      <c r="A6">
        <f>HYPERLINK("https://www.tradingview.com/chart/?symbol=NSE:COCHINSHIP","COCHINSHIP")</f>
        <v/>
      </c>
      <c r="B6" t="n">
        <v>2056179</v>
      </c>
      <c r="C6" t="n">
        <v>368663.3103448276</v>
      </c>
      <c r="D6" t="n">
        <v>5.58</v>
      </c>
    </row>
    <row r="7">
      <c r="A7">
        <f>HYPERLINK("https://www.tradingview.com/chart/?symbol=NSE:PHOENIXLTD","PHOENIXLTD")</f>
        <v/>
      </c>
      <c r="B7" t="n">
        <v>1928034</v>
      </c>
      <c r="C7" t="n">
        <v>362753.3448275862</v>
      </c>
      <c r="D7" t="n">
        <v>5.31</v>
      </c>
    </row>
    <row r="8">
      <c r="A8">
        <f>HYPERLINK("https://www.tradingview.com/chart/?symbol=NSE:JBCHEPHARM","JBCHEPHARM")</f>
        <v/>
      </c>
      <c r="B8" t="n">
        <v>600049</v>
      </c>
      <c r="C8" t="n">
        <v>153665.9310344828</v>
      </c>
      <c r="D8" t="n">
        <v>3.9</v>
      </c>
    </row>
    <row r="9">
      <c r="A9">
        <f>HYPERLINK("https://www.tradingview.com/chart/?symbol=NSE:CEATLTD","CEATLTD")</f>
        <v/>
      </c>
      <c r="B9" t="n">
        <v>253855</v>
      </c>
      <c r="C9" t="n">
        <v>65587.24137931035</v>
      </c>
      <c r="D9" t="n">
        <v>3.87</v>
      </c>
    </row>
    <row r="10">
      <c r="A10">
        <f>HYPERLINK("https://www.tradingview.com/chart/?symbol=NSE:NAUKRI","NAUKRI")</f>
        <v/>
      </c>
      <c r="B10" t="n">
        <v>4283329</v>
      </c>
      <c r="C10" t="n">
        <v>1170021.413793104</v>
      </c>
      <c r="D10" t="n">
        <v>3.66</v>
      </c>
    </row>
    <row r="11">
      <c r="A11">
        <f>HYPERLINK("https://www.tradingview.com/chart/?symbol=NSE:CGCL","CGCL")</f>
        <v/>
      </c>
      <c r="B11" t="n">
        <v>4828071</v>
      </c>
      <c r="C11" t="n">
        <v>1406460.413793104</v>
      </c>
      <c r="D11" t="n">
        <v>3.43</v>
      </c>
    </row>
    <row r="12">
      <c r="A12">
        <f>HYPERLINK("https://www.tradingview.com/chart/?symbol=NSE:POLICYBZR","POLICYBZR")</f>
        <v/>
      </c>
      <c r="B12" t="n">
        <v>4839252</v>
      </c>
      <c r="C12" t="n">
        <v>1436165.482758621</v>
      </c>
      <c r="D12" t="n">
        <v>3.37</v>
      </c>
    </row>
    <row r="13">
      <c r="A13">
        <f>HYPERLINK("https://www.tradingview.com/chart/?symbol=NSE:TITAN","TITAN")</f>
        <v/>
      </c>
      <c r="B13" t="n">
        <v>1513989</v>
      </c>
      <c r="C13" t="n">
        <v>448730.3448275862</v>
      </c>
      <c r="D13" t="n">
        <v>3.37</v>
      </c>
    </row>
    <row r="14">
      <c r="A14">
        <f>HYPERLINK("https://www.tradingview.com/chart/?symbol=NSE:INDUSINDBK","INDUSINDBK")</f>
        <v/>
      </c>
      <c r="B14" t="n">
        <v>3449081</v>
      </c>
      <c r="C14" t="n">
        <v>1076541.551724138</v>
      </c>
      <c r="D14" t="n">
        <v>3.2</v>
      </c>
    </row>
    <row r="15">
      <c r="A15">
        <f>HYPERLINK("https://www.tradingview.com/chart/?symbol=NSE:INDUSTOWER","INDUSTOWER")</f>
        <v/>
      </c>
      <c r="B15" t="n">
        <v>12671658</v>
      </c>
      <c r="C15" t="n">
        <v>4190289.620689655</v>
      </c>
      <c r="D15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2026-07-08T20:06:46Z</dcterms:created>
  <dcterms:modified xsi:type="dcterms:W3CDTF">2026-07-08T20:06:46Z</dcterms:modified>
</cp:coreProperties>
</file>