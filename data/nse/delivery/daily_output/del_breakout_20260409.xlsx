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HYPERLINK("https://www.tradingview.com/chart/?symbol=NSE:HONASA", "HONASA")</f>
        <v/>
      </c>
      <c r="B2" t="n">
        <v>1895524</v>
      </c>
      <c r="C2" t="n">
        <v>355613.4666666667</v>
      </c>
      <c r="D2" t="n">
        <v>5.33</v>
      </c>
    </row>
    <row r="3">
      <c r="A3">
        <f>HYPERLINK("https://www.tradingview.com/chart/?symbol=NSE:OLAELEC", "OLAELEC")</f>
        <v/>
      </c>
      <c r="B3" t="n">
        <v>107352264</v>
      </c>
      <c r="C3" t="n">
        <v>20980859.33333333</v>
      </c>
      <c r="D3" t="n">
        <v>5.12</v>
      </c>
    </row>
    <row r="4">
      <c r="A4">
        <f>HYPERLINK("https://www.tradingview.com/chart/?symbol=NSE:KEC", "KEC")</f>
        <v/>
      </c>
      <c r="B4" t="n">
        <v>1771495</v>
      </c>
      <c r="C4" t="n">
        <v>369141.7333333333</v>
      </c>
      <c r="D4" t="n">
        <v>4.8</v>
      </c>
    </row>
    <row r="5">
      <c r="A5">
        <f>HYPERLINK("https://www.tradingview.com/chart/?symbol=NSE:ITI", "ITI")</f>
        <v/>
      </c>
      <c r="B5" t="n">
        <v>1842653</v>
      </c>
      <c r="C5" t="n">
        <v>390789.7666666667</v>
      </c>
      <c r="D5" t="n">
        <v>4.72</v>
      </c>
    </row>
    <row r="6">
      <c r="A6">
        <f>HYPERLINK("https://www.tradingview.com/chart/?symbol=NSE:BOSCHLTD", "BOSCHLTD")</f>
        <v/>
      </c>
      <c r="B6" t="n">
        <v>70938</v>
      </c>
      <c r="C6" t="n">
        <v>15250.83333333333</v>
      </c>
      <c r="D6" t="n">
        <v>4.65</v>
      </c>
    </row>
    <row r="7">
      <c r="A7">
        <f>HYPERLINK("https://www.tradingview.com/chart/?symbol=NSE:BAYERCROP", "BAYERCROP")</f>
        <v/>
      </c>
      <c r="B7" t="n">
        <v>61271</v>
      </c>
      <c r="C7" t="n">
        <v>15456.66666666667</v>
      </c>
      <c r="D7" t="n">
        <v>3.96</v>
      </c>
    </row>
    <row r="8">
      <c r="A8">
        <f>HYPERLINK("https://www.tradingview.com/chart/?symbol=NSE:POONAWALLA", "POONAWALLA")</f>
        <v/>
      </c>
      <c r="B8" t="n">
        <v>2244174</v>
      </c>
      <c r="C8" t="n">
        <v>647828.5333333333</v>
      </c>
      <c r="D8" t="n">
        <v>3.46</v>
      </c>
    </row>
    <row r="9">
      <c r="A9">
        <f>HYPERLINK("https://www.tradingview.com/chart/?symbol=NSE:MEESHO", "MEESHO")</f>
        <v/>
      </c>
      <c r="B9" t="n">
        <v>10904742</v>
      </c>
      <c r="C9" t="n">
        <v>3161788.966666667</v>
      </c>
      <c r="D9" t="n">
        <v>3.45</v>
      </c>
    </row>
    <row r="10">
      <c r="A10">
        <f>HYPERLINK("https://www.tradingview.com/chart/?symbol=NSE:ANANDRATHI", "ANANDRATHI")</f>
        <v/>
      </c>
      <c r="B10" t="n">
        <v>393259</v>
      </c>
      <c r="C10" t="n">
        <v>114802</v>
      </c>
      <c r="D10" t="n">
        <v>3.43</v>
      </c>
    </row>
    <row r="11">
      <c r="A11">
        <f>HYPERLINK("https://www.tradingview.com/chart/?symbol=NSE:ANGELONE", "ANGELONE")</f>
        <v/>
      </c>
      <c r="B11" t="n">
        <v>10247319</v>
      </c>
      <c r="C11" t="n">
        <v>3088076.666666667</v>
      </c>
      <c r="D11" t="n">
        <v>3.32</v>
      </c>
    </row>
    <row r="12">
      <c r="A12">
        <f>HYPERLINK("https://www.tradingview.com/chart/?symbol=NSE:KPRMILL", "KPRMILL")</f>
        <v/>
      </c>
      <c r="B12" t="n">
        <v>506884</v>
      </c>
      <c r="C12" t="n">
        <v>160527.4333333333</v>
      </c>
      <c r="D12" t="n">
        <v>3.16</v>
      </c>
    </row>
    <row r="13">
      <c r="A13">
        <f>HYPERLINK("https://www.tradingview.com/chart/?symbol=NSE:SCHAEFFLER", "SCHAEFFLER")</f>
        <v/>
      </c>
      <c r="B13" t="n">
        <v>182657</v>
      </c>
      <c r="C13" t="n">
        <v>58870.33333333334</v>
      </c>
      <c r="D13" t="n">
        <v>3.1</v>
      </c>
    </row>
    <row r="14">
      <c r="A14">
        <f>HYPERLINK("https://www.tradingview.com/chart/?symbol=NSE:INDIAMART", "INDIAMART")</f>
        <v/>
      </c>
      <c r="B14" t="n">
        <v>344754</v>
      </c>
      <c r="C14" t="n">
        <v>113722.6</v>
      </c>
      <c r="D14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2026-04-10T19:30:01Z</dcterms:created>
  <dcterms:modified xsi:type="dcterms:W3CDTF">2026-04-10T19:30:01Z</dcterms:modified>
</cp:coreProperties>
</file>