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HYPERLINK("https://www.tradingview.com/chart/?symbol=NSE:SAREGAMA", "SAREGAMA")</f>
        <v/>
      </c>
      <c r="B2" t="n">
        <v>3258928</v>
      </c>
      <c r="C2" t="n">
        <v>358403.0333333333</v>
      </c>
      <c r="D2" t="n">
        <v>9.09</v>
      </c>
    </row>
    <row r="3">
      <c r="A3">
        <f>HYPERLINK("https://www.tradingview.com/chart/?symbol=NSE:PINELABS", "PINELABS")</f>
        <v/>
      </c>
      <c r="B3" t="n">
        <v>15447934</v>
      </c>
      <c r="C3" t="n">
        <v>1969820.266666667</v>
      </c>
      <c r="D3" t="n">
        <v>7.84</v>
      </c>
    </row>
    <row r="4">
      <c r="A4">
        <f>HYPERLINK("https://www.tradingview.com/chart/?symbol=NSE:CARBORUNIV", "CARBORUNIV")</f>
        <v/>
      </c>
      <c r="B4" t="n">
        <v>1046824</v>
      </c>
      <c r="C4" t="n">
        <v>165086.5666666667</v>
      </c>
      <c r="D4" t="n">
        <v>6.34</v>
      </c>
    </row>
    <row r="5">
      <c r="A5">
        <f>HYPERLINK("https://www.tradingview.com/chart/?symbol=NSE:SAILIFE", "SAILIFE")</f>
        <v/>
      </c>
      <c r="B5" t="n">
        <v>2251833</v>
      </c>
      <c r="C5" t="n">
        <v>360596.5333333333</v>
      </c>
      <c r="D5" t="n">
        <v>6.24</v>
      </c>
    </row>
    <row r="6">
      <c r="A6">
        <f>HYPERLINK("https://www.tradingview.com/chart/?symbol=NSE:MUTHOOTFIN", "MUTHOOTFIN")</f>
        <v/>
      </c>
      <c r="B6" t="n">
        <v>1994971</v>
      </c>
      <c r="C6" t="n">
        <v>360369.7666666667</v>
      </c>
      <c r="D6" t="n">
        <v>5.54</v>
      </c>
    </row>
    <row r="7">
      <c r="A7">
        <f>HYPERLINK("https://www.tradingview.com/chart/?symbol=NSE:JPPOWER", "JPPOWER")</f>
        <v/>
      </c>
      <c r="B7" t="n">
        <v>226419476</v>
      </c>
      <c r="C7" t="n">
        <v>44110107.03333333</v>
      </c>
      <c r="D7" t="n">
        <v>5.13</v>
      </c>
    </row>
    <row r="8">
      <c r="A8">
        <f>HYPERLINK("https://www.tradingview.com/chart/?symbol=NSE:WELSPUNLIV", "WELSPUNLIV")</f>
        <v/>
      </c>
      <c r="B8" t="n">
        <v>3365241</v>
      </c>
      <c r="C8" t="n">
        <v>737622.4333333333</v>
      </c>
      <c r="D8" t="n">
        <v>4.56</v>
      </c>
    </row>
    <row r="9">
      <c r="A9">
        <f>HYPERLINK("https://www.tradingview.com/chart/?symbol=NSE:PFIZER", "PFIZER")</f>
        <v/>
      </c>
      <c r="B9" t="n">
        <v>41187</v>
      </c>
      <c r="C9" t="n">
        <v>9412.566666666668</v>
      </c>
      <c r="D9" t="n">
        <v>4.38</v>
      </c>
    </row>
    <row r="10">
      <c r="A10">
        <f>HYPERLINK("https://www.tradingview.com/chart/?symbol=NSE:CHAMBLFERT", "CHAMBLFERT")</f>
        <v/>
      </c>
      <c r="B10" t="n">
        <v>1259627</v>
      </c>
      <c r="C10" t="n">
        <v>309776.2</v>
      </c>
      <c r="D10" t="n">
        <v>4.07</v>
      </c>
    </row>
    <row r="11">
      <c r="A11">
        <f>HYPERLINK("https://www.tradingview.com/chart/?symbol=NSE:APOLLOTYRE", "APOLLOTYRE")</f>
        <v/>
      </c>
      <c r="B11" t="n">
        <v>2267878</v>
      </c>
      <c r="C11" t="n">
        <v>616338.5666666667</v>
      </c>
      <c r="D11" t="n">
        <v>3.68</v>
      </c>
    </row>
    <row r="12">
      <c r="A12">
        <f>HYPERLINK("https://www.tradingview.com/chart/?symbol=NSE:IPCALAB", "IPCALAB")</f>
        <v/>
      </c>
      <c r="B12" t="n">
        <v>481975</v>
      </c>
      <c r="C12" t="n">
        <v>133059.4333333333</v>
      </c>
      <c r="D12" t="n">
        <v>3.62</v>
      </c>
    </row>
    <row r="13">
      <c r="A13">
        <f>HYPERLINK("https://www.tradingview.com/chart/?symbol=NSE:PATANJALI", "PATANJALI")</f>
        <v/>
      </c>
      <c r="B13" t="n">
        <v>3005206</v>
      </c>
      <c r="C13" t="n">
        <v>905701.2333333333</v>
      </c>
      <c r="D13" t="n">
        <v>3.32</v>
      </c>
    </row>
    <row r="14">
      <c r="A14">
        <f>HYPERLINK("https://www.tradingview.com/chart/?symbol=NSE:KPIL", "KPIL")</f>
        <v/>
      </c>
      <c r="B14" t="n">
        <v>297053</v>
      </c>
      <c r="C14" t="n">
        <v>98084.46666666666</v>
      </c>
      <c r="D14" t="n">
        <v>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2026-05-18T20:18:03Z</dcterms:created>
  <dcterms:modified xsi:type="dcterms:W3CDTF">2026-05-18T20:18:03Z</dcterms:modified>
</cp:coreProperties>
</file>