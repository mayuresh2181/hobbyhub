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HYPERLINK("https://www.tradingview.com/chart/?symbol=NSE:SOLARINDS","SOLARINDS")</f>
        <v/>
      </c>
      <c r="B2" t="n">
        <v>19250</v>
      </c>
      <c r="C2" t="n">
        <v>1304570</v>
      </c>
      <c r="D2" t="n">
        <v>425477</v>
      </c>
      <c r="E2" t="n">
        <v>32.61</v>
      </c>
      <c r="F2" t="n">
        <v>53040.53333333333</v>
      </c>
      <c r="G2" t="n">
        <v>8.02</v>
      </c>
      <c r="H2" t="n">
        <v>2511.3</v>
      </c>
      <c r="I2" t="n">
        <v>819.04</v>
      </c>
    </row>
    <row r="3">
      <c r="A3">
        <f>HYPERLINK("https://www.tradingview.com/chart/?symbol=NSE:WELENT","WELENT")</f>
        <v/>
      </c>
      <c r="B3" t="n">
        <v>737.6</v>
      </c>
      <c r="C3" t="n">
        <v>4638248</v>
      </c>
      <c r="D3" t="n">
        <v>3738122</v>
      </c>
      <c r="E3" t="n">
        <v>80.59</v>
      </c>
      <c r="F3" t="n">
        <v>277868.6666666667</v>
      </c>
      <c r="G3" t="n">
        <v>13.45</v>
      </c>
      <c r="H3" t="n">
        <v>342.12</v>
      </c>
      <c r="I3" t="n">
        <v>275.72</v>
      </c>
    </row>
    <row r="4">
      <c r="A4">
        <f>HYPERLINK("https://www.tradingview.com/chart/?symbol=NSE:DABUR","DABUR")</f>
        <v/>
      </c>
      <c r="B4" t="n">
        <v>384.9</v>
      </c>
      <c r="C4" t="n">
        <v>9936721</v>
      </c>
      <c r="D4" t="n">
        <v>6351070</v>
      </c>
      <c r="E4" t="n">
        <v>63.92</v>
      </c>
      <c r="F4" t="n">
        <v>1050058.166666667</v>
      </c>
      <c r="G4" t="n">
        <v>6.05</v>
      </c>
      <c r="H4" t="n">
        <v>382.46</v>
      </c>
      <c r="I4" t="n">
        <v>244.45</v>
      </c>
    </row>
    <row r="5">
      <c r="A5">
        <f>HYPERLINK("https://www.tradingview.com/chart/?symbol=NSE:TATAINVEST","TATAINVEST")</f>
        <v/>
      </c>
      <c r="B5" t="n">
        <v>718.35</v>
      </c>
      <c r="C5" t="n">
        <v>24516580</v>
      </c>
      <c r="D5" t="n">
        <v>1833475</v>
      </c>
      <c r="E5" t="n">
        <v>7.48</v>
      </c>
      <c r="F5" t="n">
        <v>109342.8666666667</v>
      </c>
      <c r="G5" t="n">
        <v>16.77</v>
      </c>
      <c r="H5" t="n">
        <v>1761.15</v>
      </c>
      <c r="I5" t="n">
        <v>131.71</v>
      </c>
    </row>
    <row r="6">
      <c r="A6">
        <f>HYPERLINK("https://www.tradingview.com/chart/?symbol=NSE:TATACHEM","TATACHEM")</f>
        <v/>
      </c>
      <c r="B6" t="n">
        <v>734.9</v>
      </c>
      <c r="C6" t="n">
        <v>1823658</v>
      </c>
      <c r="D6" t="n">
        <v>1753814</v>
      </c>
      <c r="E6" t="n">
        <v>96.17</v>
      </c>
      <c r="F6" t="n">
        <v>229292.8333333333</v>
      </c>
      <c r="G6" t="n">
        <v>7.65</v>
      </c>
      <c r="H6" t="n">
        <v>134.02</v>
      </c>
      <c r="I6" t="n">
        <v>128.89</v>
      </c>
    </row>
    <row r="7">
      <c r="A7">
        <f>HYPERLINK("https://www.tradingview.com/chart/?symbol=NSE:AFCONS","AFCONS")</f>
        <v/>
      </c>
      <c r="B7" t="n">
        <v>262.25</v>
      </c>
      <c r="C7" t="n">
        <v>26501568</v>
      </c>
      <c r="D7" t="n">
        <v>3962714</v>
      </c>
      <c r="E7" t="n">
        <v>14.95</v>
      </c>
      <c r="F7" t="n">
        <v>490401.7</v>
      </c>
      <c r="G7" t="n">
        <v>8.08</v>
      </c>
      <c r="H7" t="n">
        <v>695</v>
      </c>
      <c r="I7" t="n">
        <v>103.92</v>
      </c>
    </row>
    <row r="8">
      <c r="A8">
        <f>HYPERLINK("https://www.tradingview.com/chart/?symbol=NSE:FSL","FSL")</f>
        <v/>
      </c>
      <c r="B8" t="n">
        <v>283.35</v>
      </c>
      <c r="C8" t="n">
        <v>33931358</v>
      </c>
      <c r="D8" t="n">
        <v>3500036</v>
      </c>
      <c r="E8" t="n">
        <v>10.32</v>
      </c>
      <c r="F8" t="n">
        <v>601439.0333333333</v>
      </c>
      <c r="G8" t="n">
        <v>5.82</v>
      </c>
      <c r="H8" t="n">
        <v>961.45</v>
      </c>
      <c r="I8" t="n">
        <v>99.17</v>
      </c>
    </row>
    <row r="9">
      <c r="A9">
        <f>HYPERLINK("https://www.tradingview.com/chart/?symbol=NSE:ZENSARTECH","ZENSARTECH")</f>
        <v/>
      </c>
      <c r="B9" t="n">
        <v>440.2</v>
      </c>
      <c r="C9" t="n">
        <v>42017111</v>
      </c>
      <c r="D9" t="n">
        <v>2078890</v>
      </c>
      <c r="E9" t="n">
        <v>4.95</v>
      </c>
      <c r="F9" t="n">
        <v>287338.4333333333</v>
      </c>
      <c r="G9" t="n">
        <v>7.23</v>
      </c>
      <c r="H9" t="n">
        <v>1849.59</v>
      </c>
      <c r="I9" t="n">
        <v>91.51000000000001</v>
      </c>
    </row>
    <row r="10">
      <c r="A10">
        <f>HYPERLINK("https://www.tradingview.com/chart/?symbol=NSE:JSWHL","JSWHL")</f>
        <v/>
      </c>
      <c r="B10" t="n">
        <v>10967</v>
      </c>
      <c r="C10" t="n">
        <v>58618</v>
      </c>
      <c r="D10" t="n">
        <v>55056</v>
      </c>
      <c r="E10" t="n">
        <v>93.92</v>
      </c>
      <c r="F10" t="n">
        <v>1546.766666666667</v>
      </c>
      <c r="G10" t="n">
        <v>35.59</v>
      </c>
      <c r="H10" t="n">
        <v>64.29000000000001</v>
      </c>
      <c r="I10" t="n">
        <v>60.38</v>
      </c>
    </row>
    <row r="11">
      <c r="A11">
        <f>HYPERLINK("https://www.tradingview.com/chart/?symbol=NSE:FIRSTCRY","FIRSTCRY")</f>
        <v/>
      </c>
      <c r="B11" t="n">
        <v>171.53</v>
      </c>
      <c r="C11" t="n">
        <v>53340405</v>
      </c>
      <c r="D11" t="n">
        <v>3306214</v>
      </c>
      <c r="E11" t="n">
        <v>6.2</v>
      </c>
      <c r="F11" t="n">
        <v>509105.3666666666</v>
      </c>
      <c r="G11" t="n">
        <v>6.49</v>
      </c>
      <c r="H11" t="n">
        <v>914.95</v>
      </c>
      <c r="I11" t="n">
        <v>56.71</v>
      </c>
    </row>
    <row r="12">
      <c r="A12">
        <f>HYPERLINK("https://www.tradingview.com/chart/?symbol=NSE:SMSPHARMA","SMSPHARMA")</f>
        <v/>
      </c>
      <c r="B12" t="n">
        <v>410.15</v>
      </c>
      <c r="C12" t="n">
        <v>4315277</v>
      </c>
      <c r="D12" t="n">
        <v>1286644</v>
      </c>
      <c r="E12" t="n">
        <v>29.82</v>
      </c>
      <c r="F12" t="n">
        <v>225612.6</v>
      </c>
      <c r="G12" t="n">
        <v>5.7</v>
      </c>
      <c r="H12" t="n">
        <v>176.99</v>
      </c>
      <c r="I12" t="n">
        <v>52.77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2026-09-15T21:43:35Z</dcterms:created>
  <dcterms:modified xsi:type="dcterms:W3CDTF">2026-09-15T21:43:35Z</dcterms:modified>
</cp:coreProperties>
</file>