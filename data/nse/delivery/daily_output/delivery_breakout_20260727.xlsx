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HYPERLINK("https://www.tradingview.com/chart/?symbol=NSE:IDFCFIRSTB","IDFCFIRSTB")</f>
        <v/>
      </c>
      <c r="B2" t="n">
        <v>84.88</v>
      </c>
      <c r="C2" t="n">
        <v>177923165</v>
      </c>
      <c r="D2" t="n">
        <v>61724504</v>
      </c>
      <c r="E2" t="n">
        <v>34.69</v>
      </c>
      <c r="F2" t="n">
        <v>11047604.46666667</v>
      </c>
      <c r="G2" t="n">
        <v>5.59</v>
      </c>
      <c r="H2" t="n">
        <v>1510.21</v>
      </c>
      <c r="I2" t="n">
        <v>523.92</v>
      </c>
    </row>
    <row r="3">
      <c r="A3">
        <f>HYPERLINK("https://www.tradingview.com/chart/?symbol=NSE:CREDITACC","CREDITACC")</f>
        <v/>
      </c>
      <c r="B3" t="n">
        <v>1591.1</v>
      </c>
      <c r="C3" t="n">
        <v>3825382</v>
      </c>
      <c r="D3" t="n">
        <v>998293</v>
      </c>
      <c r="E3" t="n">
        <v>26.1</v>
      </c>
      <c r="F3" t="n">
        <v>155927.6666666667</v>
      </c>
      <c r="G3" t="n">
        <v>6.4</v>
      </c>
      <c r="H3" t="n">
        <v>608.66</v>
      </c>
      <c r="I3" t="n">
        <v>158.84</v>
      </c>
    </row>
    <row r="4">
      <c r="A4">
        <f>HYPERLINK("https://www.tradingview.com/chart/?symbol=NSE:SENCO","SENCO")</f>
        <v/>
      </c>
      <c r="B4" t="n">
        <v>417.95</v>
      </c>
      <c r="C4" t="n">
        <v>18605457</v>
      </c>
      <c r="D4" t="n">
        <v>2951850</v>
      </c>
      <c r="E4" t="n">
        <v>15.87</v>
      </c>
      <c r="F4" t="n">
        <v>497699.5</v>
      </c>
      <c r="G4" t="n">
        <v>5.93</v>
      </c>
      <c r="H4" t="n">
        <v>777.62</v>
      </c>
      <c r="I4" t="n">
        <v>123.37</v>
      </c>
    </row>
    <row r="5">
      <c r="A5">
        <f>HYPERLINK("https://www.tradingview.com/chart/?symbol=NSE:GODFRYPHLP","GODFRYPHLP")</f>
        <v/>
      </c>
      <c r="B5" t="n">
        <v>2210.5</v>
      </c>
      <c r="C5" t="n">
        <v>1459627</v>
      </c>
      <c r="D5" t="n">
        <v>425237</v>
      </c>
      <c r="E5" t="n">
        <v>29.13</v>
      </c>
      <c r="F5" t="n">
        <v>79535.10000000001</v>
      </c>
      <c r="G5" t="n">
        <v>5.35</v>
      </c>
      <c r="H5" t="n">
        <v>322.65</v>
      </c>
      <c r="I5" t="n">
        <v>94</v>
      </c>
    </row>
    <row r="6">
      <c r="A6">
        <f>HYPERLINK("https://www.tradingview.com/chart/?symbol=NSE:RATNAVEER","RATNAVEER")</f>
        <v/>
      </c>
      <c r="B6" t="n">
        <v>199.61</v>
      </c>
      <c r="C6" t="n">
        <v>53640552</v>
      </c>
      <c r="D6" t="n">
        <v>3947114</v>
      </c>
      <c r="E6" t="n">
        <v>7.36</v>
      </c>
      <c r="F6" t="n">
        <v>566697.1333333333</v>
      </c>
      <c r="G6" t="n">
        <v>6.97</v>
      </c>
      <c r="H6" t="n">
        <v>1070.72</v>
      </c>
      <c r="I6" t="n">
        <v>78.79000000000001</v>
      </c>
    </row>
    <row r="7">
      <c r="A7">
        <f>HYPERLINK("https://www.tradingview.com/chart/?symbol=NSE:PVRINOX","PVRINOX")</f>
        <v/>
      </c>
      <c r="B7" t="n">
        <v>1123.2</v>
      </c>
      <c r="C7" t="n">
        <v>1608571</v>
      </c>
      <c r="D7" t="n">
        <v>626497</v>
      </c>
      <c r="E7" t="n">
        <v>38.95</v>
      </c>
      <c r="F7" t="n">
        <v>119546.1</v>
      </c>
      <c r="G7" t="n">
        <v>5.24</v>
      </c>
      <c r="H7" t="n">
        <v>180.67</v>
      </c>
      <c r="I7" t="n">
        <v>70.37</v>
      </c>
    </row>
    <row r="8">
      <c r="A8">
        <f>HYPERLINK("https://www.tradingview.com/chart/?symbol=NSE:THYROCARE","THYROCARE")</f>
        <v/>
      </c>
      <c r="B8" t="n">
        <v>584.05</v>
      </c>
      <c r="C8" t="n">
        <v>3960893</v>
      </c>
      <c r="D8" t="n">
        <v>1131323</v>
      </c>
      <c r="E8" t="n">
        <v>28.56</v>
      </c>
      <c r="F8" t="n">
        <v>204790.6</v>
      </c>
      <c r="G8" t="n">
        <v>5.52</v>
      </c>
      <c r="H8" t="n">
        <v>231.34</v>
      </c>
      <c r="I8" t="n">
        <v>66.06999999999999</v>
      </c>
    </row>
    <row r="9">
      <c r="A9">
        <f>HYPERLINK("https://www.tradingview.com/chart/?symbol=NSE:TMB","TMB")</f>
        <v/>
      </c>
      <c r="B9" t="n">
        <v>893.65</v>
      </c>
      <c r="C9" t="n">
        <v>7671271</v>
      </c>
      <c r="D9" t="n">
        <v>645880</v>
      </c>
      <c r="E9" t="n">
        <v>8.42</v>
      </c>
      <c r="F9" t="n">
        <v>104646.4</v>
      </c>
      <c r="G9" t="n">
        <v>6.17</v>
      </c>
      <c r="H9" t="n">
        <v>685.54</v>
      </c>
      <c r="I9" t="n">
        <v>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2026-07-27T20:07:16Z</dcterms:created>
  <dcterms:modified xsi:type="dcterms:W3CDTF">2026-07-27T20:07:16Z</dcterms:modified>
</cp:coreProperties>
</file>