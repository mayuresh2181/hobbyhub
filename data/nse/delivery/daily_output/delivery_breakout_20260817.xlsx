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HYPERLINK("https://www.tradingview.com/chart/?symbol=NSE:LIQUIDETF","LIQUIDETF")</f>
        <v/>
      </c>
      <c r="B2" t="n">
        <v>1000</v>
      </c>
      <c r="C2" t="n">
        <v>3052381</v>
      </c>
      <c r="D2" t="n">
        <v>3030974</v>
      </c>
      <c r="E2" t="n">
        <v>99.3</v>
      </c>
      <c r="F2" t="n">
        <v>181758.3333333333</v>
      </c>
      <c r="G2" t="n">
        <v>16.68</v>
      </c>
      <c r="H2" t="n">
        <v>305.24</v>
      </c>
      <c r="I2" t="n">
        <v>303.1</v>
      </c>
    </row>
    <row r="3">
      <c r="A3">
        <f>HYPERLINK("https://www.tradingview.com/chart/?symbol=NSE:IPCALAB","IPCALAB")</f>
        <v/>
      </c>
      <c r="B3" t="n">
        <v>1884.6</v>
      </c>
      <c r="C3" t="n">
        <v>6964903</v>
      </c>
      <c r="D3" t="n">
        <v>1349517</v>
      </c>
      <c r="E3" t="n">
        <v>19.38</v>
      </c>
      <c r="F3" t="n">
        <v>136094.0333333333</v>
      </c>
      <c r="G3" t="n">
        <v>9.92</v>
      </c>
      <c r="H3" t="n">
        <v>1312.61</v>
      </c>
      <c r="I3" t="n">
        <v>254.33</v>
      </c>
    </row>
    <row r="4">
      <c r="A4">
        <f>HYPERLINK("https://www.tradingview.com/chart/?symbol=NSE:RUBICON","RUBICON")</f>
        <v/>
      </c>
      <c r="B4" t="n">
        <v>1798.7</v>
      </c>
      <c r="C4" t="n">
        <v>3473690</v>
      </c>
      <c r="D4" t="n">
        <v>904759</v>
      </c>
      <c r="E4" t="n">
        <v>26.05</v>
      </c>
      <c r="F4" t="n">
        <v>110261.7666666667</v>
      </c>
      <c r="G4" t="n">
        <v>8.210000000000001</v>
      </c>
      <c r="H4" t="n">
        <v>624.8099999999999</v>
      </c>
      <c r="I4" t="n">
        <v>162.74</v>
      </c>
    </row>
    <row r="5">
      <c r="A5">
        <f>HYPERLINK("https://www.tradingview.com/chart/?symbol=NSE:MANORAMA","MANORAMA")</f>
        <v/>
      </c>
      <c r="B5" t="n">
        <v>1943.4</v>
      </c>
      <c r="C5" t="n">
        <v>7248199</v>
      </c>
      <c r="D5" t="n">
        <v>772460</v>
      </c>
      <c r="E5" t="n">
        <v>10.66</v>
      </c>
      <c r="F5" t="n">
        <v>111089.0333333333</v>
      </c>
      <c r="G5" t="n">
        <v>6.95</v>
      </c>
      <c r="H5" t="n">
        <v>1408.61</v>
      </c>
      <c r="I5" t="n">
        <v>150.12</v>
      </c>
    </row>
    <row r="6">
      <c r="A6">
        <f>HYPERLINK("https://www.tradingview.com/chart/?symbol=NSE:VIKRAMSOLR","VIKRAMSOLR")</f>
        <v/>
      </c>
      <c r="B6" t="n">
        <v>183.1</v>
      </c>
      <c r="C6" t="n">
        <v>65091295</v>
      </c>
      <c r="D6" t="n">
        <v>6874213</v>
      </c>
      <c r="E6" t="n">
        <v>10.56</v>
      </c>
      <c r="F6" t="n">
        <v>1234291.866666667</v>
      </c>
      <c r="G6" t="n">
        <v>5.57</v>
      </c>
      <c r="H6" t="n">
        <v>1191.82</v>
      </c>
      <c r="I6" t="n">
        <v>125.87</v>
      </c>
    </row>
    <row r="7">
      <c r="A7">
        <f>HYPERLINK("https://www.tradingview.com/chart/?symbol=NSE:CORDELIA","CORDELIA")</f>
        <v/>
      </c>
      <c r="B7" t="n">
        <v>823.2</v>
      </c>
      <c r="C7" t="n">
        <v>1823530</v>
      </c>
      <c r="D7" t="n">
        <v>1278191</v>
      </c>
      <c r="E7" t="n">
        <v>70.09</v>
      </c>
      <c r="F7" t="n">
        <v>134126.1666666667</v>
      </c>
      <c r="G7" t="n">
        <v>9.529999999999999</v>
      </c>
      <c r="H7" t="n">
        <v>150.11</v>
      </c>
      <c r="I7" t="n">
        <v>105.22</v>
      </c>
    </row>
    <row r="8">
      <c r="A8">
        <f>HYPERLINK("https://www.tradingview.com/chart/?symbol=NSE:PTCIL","PTCIL")</f>
        <v/>
      </c>
      <c r="B8" t="n">
        <v>20584</v>
      </c>
      <c r="C8" t="n">
        <v>284135</v>
      </c>
      <c r="D8" t="n">
        <v>45183</v>
      </c>
      <c r="E8" t="n">
        <v>15.9</v>
      </c>
      <c r="F8" t="n">
        <v>5826.266666666666</v>
      </c>
      <c r="G8" t="n">
        <v>7.76</v>
      </c>
      <c r="H8" t="n">
        <v>584.86</v>
      </c>
      <c r="I8" t="n">
        <v>93</v>
      </c>
    </row>
    <row r="9">
      <c r="A9">
        <f>HYPERLINK("https://www.tradingview.com/chart/?symbol=NSE:SCHNEIDER","SCHNEIDER")</f>
        <v/>
      </c>
      <c r="B9" t="n">
        <v>1212.2</v>
      </c>
      <c r="C9" t="n">
        <v>2282209</v>
      </c>
      <c r="D9" t="n">
        <v>736436</v>
      </c>
      <c r="E9" t="n">
        <v>32.27</v>
      </c>
      <c r="F9" t="n">
        <v>141870.6666666667</v>
      </c>
      <c r="G9" t="n">
        <v>5.19</v>
      </c>
      <c r="H9" t="n">
        <v>276.65</v>
      </c>
      <c r="I9" t="n">
        <v>89.27</v>
      </c>
    </row>
    <row r="10">
      <c r="A10">
        <f>HYPERLINK("https://www.tradingview.com/chart/?symbol=NSE:ZAGGLE","ZAGGLE")</f>
        <v/>
      </c>
      <c r="B10" t="n">
        <v>160.48</v>
      </c>
      <c r="C10" t="n">
        <v>12084279</v>
      </c>
      <c r="D10" t="n">
        <v>4917809</v>
      </c>
      <c r="E10" t="n">
        <v>40.7</v>
      </c>
      <c r="F10" t="n">
        <v>292342.2666666667</v>
      </c>
      <c r="G10" t="n">
        <v>16.82</v>
      </c>
      <c r="H10" t="n">
        <v>193.93</v>
      </c>
      <c r="I10" t="n">
        <v>78.92</v>
      </c>
    </row>
    <row r="11">
      <c r="A11">
        <f>HYPERLINK("https://www.tradingview.com/chart/?symbol=NSE:JYOTHYLAB","JYOTHYLAB")</f>
        <v/>
      </c>
      <c r="B11" t="n">
        <v>213.93</v>
      </c>
      <c r="C11" t="n">
        <v>4700675</v>
      </c>
      <c r="D11" t="n">
        <v>2477849</v>
      </c>
      <c r="E11" t="n">
        <v>52.71</v>
      </c>
      <c r="F11" t="n">
        <v>277203.1666666667</v>
      </c>
      <c r="G11" t="n">
        <v>8.94</v>
      </c>
      <c r="H11" t="n">
        <v>100.56</v>
      </c>
      <c r="I11" t="n">
        <v>53.01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2026-08-17T19:09:54Z</dcterms:created>
  <dcterms:modified xsi:type="dcterms:W3CDTF">2026-08-17T19:09:54Z</dcterms:modified>
</cp:coreProperties>
</file>