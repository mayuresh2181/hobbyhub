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HYPERLINK("https://www.tradingview.com/chart/?symbol=NSE:LICI","LICI")</f>
        <v/>
      </c>
      <c r="B2" t="n">
        <v>387.55</v>
      </c>
      <c r="C2" t="n">
        <v>57401466</v>
      </c>
      <c r="D2" t="n">
        <v>39626567</v>
      </c>
      <c r="E2" t="n">
        <v>69.03</v>
      </c>
      <c r="F2" t="n">
        <v>3047328.862068966</v>
      </c>
      <c r="G2" t="n">
        <v>13</v>
      </c>
      <c r="H2" t="n">
        <v>2224.59</v>
      </c>
      <c r="I2" t="n">
        <v>1535.73</v>
      </c>
    </row>
    <row r="3">
      <c r="A3">
        <f>HYPERLINK("https://www.tradingview.com/chart/?symbol=NSE:HAL","HAL")</f>
        <v/>
      </c>
      <c r="B3" t="n">
        <v>4920</v>
      </c>
      <c r="C3" t="n">
        <v>4796689</v>
      </c>
      <c r="D3" t="n">
        <v>2200890</v>
      </c>
      <c r="E3" t="n">
        <v>45.88</v>
      </c>
      <c r="F3" t="n">
        <v>296250.8275862069</v>
      </c>
      <c r="G3" t="n">
        <v>7.43</v>
      </c>
      <c r="H3" t="n">
        <v>2359.97</v>
      </c>
      <c r="I3" t="n">
        <v>1082.84</v>
      </c>
    </row>
    <row r="4">
      <c r="A4">
        <f>HYPERLINK("https://www.tradingview.com/chart/?symbol=NSE:NAVINFLUOR","NAVINFLUOR")</f>
        <v/>
      </c>
      <c r="B4" t="n">
        <v>8650</v>
      </c>
      <c r="C4" t="n">
        <v>3853522</v>
      </c>
      <c r="D4" t="n">
        <v>569365</v>
      </c>
      <c r="E4" t="n">
        <v>14.78</v>
      </c>
      <c r="F4" t="n">
        <v>71768.75862068965</v>
      </c>
      <c r="G4" t="n">
        <v>7.93</v>
      </c>
      <c r="H4" t="n">
        <v>3333.3</v>
      </c>
      <c r="I4" t="n">
        <v>492.5</v>
      </c>
    </row>
    <row r="5">
      <c r="A5">
        <f>HYPERLINK("https://www.tradingview.com/chart/?symbol=NSE:NEULANDLAB","NEULANDLAB")</f>
        <v/>
      </c>
      <c r="B5" t="n">
        <v>21543</v>
      </c>
      <c r="C5" t="n">
        <v>929534</v>
      </c>
      <c r="D5" t="n">
        <v>179949</v>
      </c>
      <c r="E5" t="n">
        <v>19.36</v>
      </c>
      <c r="F5" t="n">
        <v>17454.93103448276</v>
      </c>
      <c r="G5" t="n">
        <v>10.31</v>
      </c>
      <c r="H5" t="n">
        <v>2002.5</v>
      </c>
      <c r="I5" t="n">
        <v>387.66</v>
      </c>
    </row>
    <row r="6">
      <c r="A6">
        <f>HYPERLINK("https://www.tradingview.com/chart/?symbol=NSE:SHILPAMED","SHILPAMED")</f>
        <v/>
      </c>
      <c r="B6" t="n">
        <v>738.8</v>
      </c>
      <c r="C6" t="n">
        <v>20729663</v>
      </c>
      <c r="D6" t="n">
        <v>2494959</v>
      </c>
      <c r="E6" t="n">
        <v>12.04</v>
      </c>
      <c r="F6" t="n">
        <v>427429.6551724138</v>
      </c>
      <c r="G6" t="n">
        <v>5.84</v>
      </c>
      <c r="H6" t="n">
        <v>1531.51</v>
      </c>
      <c r="I6" t="n">
        <v>184.33</v>
      </c>
    </row>
    <row r="7">
      <c r="A7">
        <f>HYPERLINK("https://www.tradingview.com/chart/?symbol=NSE:BLUESTARCO","BLUESTARCO")</f>
        <v/>
      </c>
      <c r="B7" t="n">
        <v>1571</v>
      </c>
      <c r="C7" t="n">
        <v>2327347</v>
      </c>
      <c r="D7" t="n">
        <v>1001767</v>
      </c>
      <c r="E7" t="n">
        <v>43.04</v>
      </c>
      <c r="F7" t="n">
        <v>144338.9655172414</v>
      </c>
      <c r="G7" t="n">
        <v>6.94</v>
      </c>
      <c r="H7" t="n">
        <v>365.63</v>
      </c>
      <c r="I7" t="n">
        <v>157.38</v>
      </c>
    </row>
    <row r="8">
      <c r="A8">
        <f>HYPERLINK("https://www.tradingview.com/chart/?symbol=NSE:TATATECH","TATATECH")</f>
        <v/>
      </c>
      <c r="B8" t="n">
        <v>801.55</v>
      </c>
      <c r="C8" t="n">
        <v>8537872</v>
      </c>
      <c r="D8" t="n">
        <v>1941170</v>
      </c>
      <c r="E8" t="n">
        <v>22.74</v>
      </c>
      <c r="F8" t="n">
        <v>364416.3793103448</v>
      </c>
      <c r="G8" t="n">
        <v>5.33</v>
      </c>
      <c r="H8" t="n">
        <v>684.35</v>
      </c>
      <c r="I8" t="n">
        <v>155.59</v>
      </c>
    </row>
    <row r="9">
      <c r="A9">
        <f>HYPERLINK("https://www.tradingview.com/chart/?symbol=NSE:LIQUIDETF","LIQUIDETF")</f>
        <v/>
      </c>
      <c r="B9" t="n">
        <v>1000</v>
      </c>
      <c r="C9" t="n">
        <v>1603864</v>
      </c>
      <c r="D9" t="n">
        <v>1553374</v>
      </c>
      <c r="E9" t="n">
        <v>96.84999999999999</v>
      </c>
      <c r="F9" t="n">
        <v>112603.6896551724</v>
      </c>
      <c r="G9" t="n">
        <v>13.8</v>
      </c>
      <c r="H9" t="n">
        <v>160.39</v>
      </c>
      <c r="I9" t="n">
        <v>155.34</v>
      </c>
    </row>
    <row r="10">
      <c r="A10">
        <f>HYPERLINK("https://www.tradingview.com/chart/?symbol=NSE:FSL","FSL")</f>
        <v/>
      </c>
      <c r="B10" t="n">
        <v>293.95</v>
      </c>
      <c r="C10" t="n">
        <v>24119467</v>
      </c>
      <c r="D10" t="n">
        <v>4731688</v>
      </c>
      <c r="E10" t="n">
        <v>19.62</v>
      </c>
      <c r="F10" t="n">
        <v>775597.724137931</v>
      </c>
      <c r="G10" t="n">
        <v>6.1</v>
      </c>
      <c r="H10" t="n">
        <v>708.99</v>
      </c>
      <c r="I10" t="n">
        <v>139.09</v>
      </c>
    </row>
    <row r="11">
      <c r="A11">
        <f>HYPERLINK("https://www.tradingview.com/chart/?symbol=NSE:CASTROLIND","CASTROLIND")</f>
        <v/>
      </c>
      <c r="B11" t="n">
        <v>194.17</v>
      </c>
      <c r="C11" t="n">
        <v>9762712</v>
      </c>
      <c r="D11" t="n">
        <v>5861969</v>
      </c>
      <c r="E11" t="n">
        <v>60.04</v>
      </c>
      <c r="F11" t="n">
        <v>952742.1724137932</v>
      </c>
      <c r="G11" t="n">
        <v>6.15</v>
      </c>
      <c r="H11" t="n">
        <v>189.56</v>
      </c>
      <c r="I11" t="n">
        <v>113.82</v>
      </c>
    </row>
    <row r="12">
      <c r="A12">
        <f>HYPERLINK("https://www.tradingview.com/chart/?symbol=NSE:SOTL","SOTL")</f>
        <v/>
      </c>
      <c r="B12" t="n">
        <v>781.95</v>
      </c>
      <c r="C12" t="n">
        <v>6004735</v>
      </c>
      <c r="D12" t="n">
        <v>1398041</v>
      </c>
      <c r="E12" t="n">
        <v>23.28</v>
      </c>
      <c r="F12" t="n">
        <v>143271.2068965517</v>
      </c>
      <c r="G12" t="n">
        <v>9.76</v>
      </c>
      <c r="H12" t="n">
        <v>469.54</v>
      </c>
      <c r="I12" t="n">
        <v>109.32</v>
      </c>
    </row>
    <row r="13">
      <c r="A13">
        <f>HYPERLINK("https://www.tradingview.com/chart/?symbol=NSE:OMNI","OMNI")</f>
        <v/>
      </c>
      <c r="B13" t="n">
        <v>627.05</v>
      </c>
      <c r="C13" t="n">
        <v>11785459</v>
      </c>
      <c r="D13" t="n">
        <v>1722271</v>
      </c>
      <c r="E13" t="n">
        <v>14.61</v>
      </c>
      <c r="F13" t="n">
        <v>205446.2068965517</v>
      </c>
      <c r="G13" t="n">
        <v>8.380000000000001</v>
      </c>
      <c r="H13" t="n">
        <v>739.01</v>
      </c>
      <c r="I13" t="n">
        <v>108</v>
      </c>
    </row>
    <row r="14">
      <c r="A14">
        <f>HYPERLINK("https://www.tradingview.com/chart/?symbol=NSE:INDGN","INDGN")</f>
        <v/>
      </c>
      <c r="B14" t="n">
        <v>550.2</v>
      </c>
      <c r="C14" t="n">
        <v>3351725</v>
      </c>
      <c r="D14" t="n">
        <v>1955482</v>
      </c>
      <c r="E14" t="n">
        <v>58.34</v>
      </c>
      <c r="F14" t="n">
        <v>165276.8620689655</v>
      </c>
      <c r="G14" t="n">
        <v>11.83</v>
      </c>
      <c r="H14" t="n">
        <v>184.41</v>
      </c>
      <c r="I14" t="n">
        <v>107.59</v>
      </c>
    </row>
    <row r="15">
      <c r="A15">
        <f>HYPERLINK("https://www.tradingview.com/chart/?symbol=NSE:GRWRHITECH","GRWRHITECH")</f>
        <v/>
      </c>
      <c r="B15" t="n">
        <v>7338.5</v>
      </c>
      <c r="C15" t="n">
        <v>566953</v>
      </c>
      <c r="D15" t="n">
        <v>124033</v>
      </c>
      <c r="E15" t="n">
        <v>21.88</v>
      </c>
      <c r="F15" t="n">
        <v>23913.72413793104</v>
      </c>
      <c r="G15" t="n">
        <v>5.19</v>
      </c>
      <c r="H15" t="n">
        <v>416.06</v>
      </c>
      <c r="I15" t="n">
        <v>91.02</v>
      </c>
    </row>
    <row r="16">
      <c r="A16">
        <f>HYPERLINK("https://www.tradingview.com/chart/?symbol=NSE:PTC","PTC")</f>
        <v/>
      </c>
      <c r="B16" t="n">
        <v>200.17</v>
      </c>
      <c r="C16" t="n">
        <v>7809024</v>
      </c>
      <c r="D16" t="n">
        <v>4458108</v>
      </c>
      <c r="E16" t="n">
        <v>57.09</v>
      </c>
      <c r="F16" t="n">
        <v>679535.0689655172</v>
      </c>
      <c r="G16" t="n">
        <v>6.56</v>
      </c>
      <c r="H16" t="n">
        <v>156.31</v>
      </c>
      <c r="I16" t="n">
        <v>89.23999999999999</v>
      </c>
    </row>
    <row r="17">
      <c r="A17">
        <f>HYPERLINK("https://www.tradingview.com/chart/?symbol=NSE:GMMPFAUDLR","GMMPFAUDLR")</f>
        <v/>
      </c>
      <c r="B17" t="n">
        <v>979.85</v>
      </c>
      <c r="C17" t="n">
        <v>6204622</v>
      </c>
      <c r="D17" t="n">
        <v>854505</v>
      </c>
      <c r="E17" t="n">
        <v>13.77</v>
      </c>
      <c r="F17" t="n">
        <v>54910.44827586207</v>
      </c>
      <c r="G17" t="n">
        <v>15.56</v>
      </c>
      <c r="H17" t="n">
        <v>607.96</v>
      </c>
      <c r="I17" t="n">
        <v>83.73</v>
      </c>
    </row>
    <row r="18">
      <c r="A18">
        <f>HYPERLINK("https://www.tradingview.com/chart/?symbol=NSE:DECNGOLD","DECNGOLD")</f>
        <v/>
      </c>
      <c r="B18" t="n">
        <v>225.43</v>
      </c>
      <c r="C18" t="n">
        <v>21194506</v>
      </c>
      <c r="D18" t="n">
        <v>3703330</v>
      </c>
      <c r="E18" t="n">
        <v>17.47</v>
      </c>
      <c r="F18" t="n">
        <v>674212.0344827586</v>
      </c>
      <c r="G18" t="n">
        <v>5.49</v>
      </c>
      <c r="H18" t="n">
        <v>477.79</v>
      </c>
      <c r="I18" t="n">
        <v>83.48</v>
      </c>
    </row>
    <row r="19">
      <c r="A19">
        <f>HYPERLINK("https://www.tradingview.com/chart/?symbol=NSE:COHANCE","COHANCE")</f>
        <v/>
      </c>
      <c r="B19" t="n">
        <v>438.9</v>
      </c>
      <c r="C19" t="n">
        <v>6018027</v>
      </c>
      <c r="D19" t="n">
        <v>1358172</v>
      </c>
      <c r="E19" t="n">
        <v>22.57</v>
      </c>
      <c r="F19" t="n">
        <v>223142.1379310345</v>
      </c>
      <c r="G19" t="n">
        <v>6.09</v>
      </c>
      <c r="H19" t="n">
        <v>264.13</v>
      </c>
      <c r="I19" t="n">
        <v>59.61</v>
      </c>
    </row>
    <row r="20">
      <c r="A20">
        <f>HYPERLINK("https://www.tradingview.com/chart/?symbol=NSE:ROLEXRINGS","ROLEXRINGS")</f>
        <v/>
      </c>
      <c r="B20" t="n">
        <v>152.8</v>
      </c>
      <c r="C20" t="n">
        <v>15721968</v>
      </c>
      <c r="D20" t="n">
        <v>3463473</v>
      </c>
      <c r="E20" t="n">
        <v>22.03</v>
      </c>
      <c r="F20" t="n">
        <v>657162.8620689656</v>
      </c>
      <c r="G20" t="n">
        <v>5.27</v>
      </c>
      <c r="H20" t="n">
        <v>240.23</v>
      </c>
      <c r="I20" t="n">
        <v>52.92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2026-08-07T00:27:00Z</dcterms:created>
  <dcterms:modified xsi:type="dcterms:W3CDTF">2026-08-07T00:27:00Z</dcterms:modified>
</cp:coreProperties>
</file>