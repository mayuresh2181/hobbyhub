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2" customWidth="1" min="3" max="3"/>
    <col width="19" customWidth="1" min="4" max="4"/>
  </cols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DELIVERY_RATIO</t>
        </is>
      </c>
    </row>
    <row r="2">
      <c r="A2">
        <f>HYPERLINK("https://www.tradingview.com/chart/?symbol=NSE:TBOTEK","TBOTEK")</f>
        <v/>
      </c>
      <c r="B2" t="n">
        <v>415694</v>
      </c>
      <c r="C2" t="n">
        <v>44470.20689655172</v>
      </c>
      <c r="D2" t="n">
        <v>9.35</v>
      </c>
    </row>
    <row r="3">
      <c r="A3">
        <f>HYPERLINK("https://www.tradingview.com/chart/?symbol=NSE:LTFOODS","LTFOODS")</f>
        <v/>
      </c>
      <c r="B3" t="n">
        <v>1338155</v>
      </c>
      <c r="C3" t="n">
        <v>143481.9655172414</v>
      </c>
      <c r="D3" t="n">
        <v>9.33</v>
      </c>
    </row>
    <row r="4">
      <c r="A4">
        <f>HYPERLINK("https://www.tradingview.com/chart/?symbol=NSE:BIKAJI","BIKAJI")</f>
        <v/>
      </c>
      <c r="B4" t="n">
        <v>691521</v>
      </c>
      <c r="C4" t="n">
        <v>84049.55172413793</v>
      </c>
      <c r="D4" t="n">
        <v>8.23</v>
      </c>
    </row>
    <row r="5">
      <c r="A5">
        <f>HYPERLINK("https://www.tradingview.com/chart/?symbol=NSE:FIVESTAR","FIVESTAR")</f>
        <v/>
      </c>
      <c r="B5" t="n">
        <v>2909542</v>
      </c>
      <c r="C5" t="n">
        <v>408695.4137931034</v>
      </c>
      <c r="D5" t="n">
        <v>7.12</v>
      </c>
    </row>
    <row r="6">
      <c r="A6">
        <f>HYPERLINK("https://www.tradingview.com/chart/?symbol=NSE:CHALET","CHALET")</f>
        <v/>
      </c>
      <c r="B6" t="n">
        <v>569450</v>
      </c>
      <c r="C6" t="n">
        <v>91698.72413793103</v>
      </c>
      <c r="D6" t="n">
        <v>6.21</v>
      </c>
    </row>
    <row r="7">
      <c r="A7">
        <f>HYPERLINK("https://www.tradingview.com/chart/?symbol=NSE:HDBFS","HDBFS")</f>
        <v/>
      </c>
      <c r="B7" t="n">
        <v>1204622</v>
      </c>
      <c r="C7" t="n">
        <v>213585.7931034483</v>
      </c>
      <c r="D7" t="n">
        <v>5.64</v>
      </c>
    </row>
    <row r="8">
      <c r="A8">
        <f>HYPERLINK("https://www.tradingview.com/chart/?symbol=NSE:MMTC","MMTC")</f>
        <v/>
      </c>
      <c r="B8" t="n">
        <v>5323376</v>
      </c>
      <c r="C8" t="n">
        <v>1009884</v>
      </c>
      <c r="D8" t="n">
        <v>5.27</v>
      </c>
    </row>
    <row r="9">
      <c r="A9">
        <f>HYPERLINK("https://www.tradingview.com/chart/?symbol=NSE:JINDALSTEL","JINDALSTEL")</f>
        <v/>
      </c>
      <c r="B9" t="n">
        <v>2000083</v>
      </c>
      <c r="C9" t="n">
        <v>450952.8620689655</v>
      </c>
      <c r="D9" t="n">
        <v>4.44</v>
      </c>
    </row>
    <row r="10">
      <c r="A10">
        <f>HYPERLINK("https://www.tradingview.com/chart/?symbol=NSE:OBEROIRLTY","OBEROIRLTY")</f>
        <v/>
      </c>
      <c r="B10" t="n">
        <v>708212</v>
      </c>
      <c r="C10" t="n">
        <v>161261.0344827586</v>
      </c>
      <c r="D10" t="n">
        <v>4.39</v>
      </c>
    </row>
    <row r="11">
      <c r="A11">
        <f>HYPERLINK("https://www.tradingview.com/chart/?symbol=NSE:AARTIIND","AARTIIND")</f>
        <v/>
      </c>
      <c r="B11" t="n">
        <v>1614199</v>
      </c>
      <c r="C11" t="n">
        <v>375481.9655172414</v>
      </c>
      <c r="D11" t="n">
        <v>4.3</v>
      </c>
    </row>
    <row r="12">
      <c r="A12">
        <f>HYPERLINK("https://www.tradingview.com/chart/?symbol=NSE:THELEELA","THELEELA")</f>
        <v/>
      </c>
      <c r="B12" t="n">
        <v>767310</v>
      </c>
      <c r="C12" t="n">
        <v>179936.8620689655</v>
      </c>
      <c r="D12" t="n">
        <v>4.26</v>
      </c>
    </row>
    <row r="13">
      <c r="A13">
        <f>HYPERLINK("https://www.tradingview.com/chart/?symbol=NSE:BALKRISIND","BALKRISIND")</f>
        <v/>
      </c>
      <c r="B13" t="n">
        <v>524689</v>
      </c>
      <c r="C13" t="n">
        <v>124122.0689655172</v>
      </c>
      <c r="D13" t="n">
        <v>4.23</v>
      </c>
    </row>
    <row r="14">
      <c r="A14">
        <f>HYPERLINK("https://www.tradingview.com/chart/?symbol=NSE:PCBL","PCBL")</f>
        <v/>
      </c>
      <c r="B14" t="n">
        <v>1099390</v>
      </c>
      <c r="C14" t="n">
        <v>316946.7586206897</v>
      </c>
      <c r="D14" t="n">
        <v>3.47</v>
      </c>
    </row>
    <row r="15">
      <c r="A15">
        <f>HYPERLINK("https://www.tradingview.com/chart/?symbol=NSE:M&amp;MFIN","M&amp;MFIN")</f>
        <v/>
      </c>
      <c r="B15" t="n">
        <v>2691973</v>
      </c>
      <c r="C15" t="n">
        <v>780435.3414634146</v>
      </c>
      <c r="D15" t="n">
        <v>3.45</v>
      </c>
    </row>
    <row r="16">
      <c r="A16">
        <f>HYPERLINK("https://www.tradingview.com/chart/?symbol=NSE:CHOLAFIN","CHOLAFIN")</f>
        <v/>
      </c>
      <c r="B16" t="n">
        <v>2735410</v>
      </c>
      <c r="C16" t="n">
        <v>797011.7586206896</v>
      </c>
      <c r="D16" t="n">
        <v>3.43</v>
      </c>
    </row>
    <row r="17">
      <c r="A17">
        <f>HYPERLINK("https://www.tradingview.com/chart/?symbol=NSE:PPLPHARMA","PPLPHARMA")</f>
        <v/>
      </c>
      <c r="B17" t="n">
        <v>4538328</v>
      </c>
      <c r="C17" t="n">
        <v>1342334.517241379</v>
      </c>
      <c r="D17" t="n">
        <v>3.38</v>
      </c>
    </row>
    <row r="18">
      <c r="A18">
        <f>HYPERLINK("https://www.tradingview.com/chart/?symbol=NSE:CASTROLIND","CASTROLIND")</f>
        <v/>
      </c>
      <c r="B18" t="n">
        <v>1978221</v>
      </c>
      <c r="C18" t="n">
        <v>610287.2068965518</v>
      </c>
      <c r="D18" t="n">
        <v>3.24</v>
      </c>
    </row>
    <row r="19">
      <c r="A19">
        <f>HYPERLINK("https://www.tradingview.com/chart/?symbol=NSE:GABRIEL","GABRIEL")</f>
        <v/>
      </c>
      <c r="B19" t="n">
        <v>505579</v>
      </c>
      <c r="C19" t="n">
        <v>161874.8620689655</v>
      </c>
      <c r="D19" t="n">
        <v>3.12</v>
      </c>
    </row>
    <row r="20">
      <c r="A20">
        <f>HYPERLINK("https://www.tradingview.com/chart/?symbol=NSE:APLAPOLLO","APLAPOLLO")</f>
        <v/>
      </c>
      <c r="B20" t="n">
        <v>1305559</v>
      </c>
      <c r="C20" t="n">
        <v>423245.3448275862</v>
      </c>
      <c r="D20" t="n">
        <v>3.08</v>
      </c>
    </row>
    <row r="21">
      <c r="A21">
        <f>HYPERLINK("https://www.tradingview.com/chart/?symbol=NSE:AFFLE","AFFLE")</f>
        <v/>
      </c>
      <c r="B21" t="n">
        <v>405048</v>
      </c>
      <c r="C21" t="n">
        <v>134231.1034482759</v>
      </c>
      <c r="D21" t="n">
        <v>3.02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2026-06-16T21:33:25Z</dcterms:created>
  <dcterms:modified xsi:type="dcterms:W3CDTF">2026-06-16T21:33:25Z</dcterms:modified>
</cp:coreProperties>
</file>