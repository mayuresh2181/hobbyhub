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HYPERLINK("https://www.tradingview.com/chart/?symbol=NSE:TATACAP","TATACAP")</f>
        <v/>
      </c>
      <c r="B2" t="n">
        <v>326.35</v>
      </c>
      <c r="C2" t="n">
        <v>14500658</v>
      </c>
      <c r="D2" t="n">
        <v>10277709</v>
      </c>
      <c r="E2" t="n">
        <v>70.88</v>
      </c>
      <c r="F2" t="n">
        <v>1052029.9</v>
      </c>
      <c r="G2" t="n">
        <v>9.77</v>
      </c>
      <c r="H2" t="n">
        <v>473.23</v>
      </c>
      <c r="I2" t="n">
        <v>335.41</v>
      </c>
    </row>
    <row r="3">
      <c r="A3">
        <f>HYPERLINK("https://www.tradingview.com/chart/?symbol=NSE:IIFLCAPS","IIFLCAPS")</f>
        <v/>
      </c>
      <c r="B3" t="n">
        <v>347.75</v>
      </c>
      <c r="C3" t="n">
        <v>7714708</v>
      </c>
      <c r="D3" t="n">
        <v>5783926</v>
      </c>
      <c r="E3" t="n">
        <v>74.97</v>
      </c>
      <c r="F3" t="n">
        <v>397111.5333333333</v>
      </c>
      <c r="G3" t="n">
        <v>14.56</v>
      </c>
      <c r="H3" t="n">
        <v>268.28</v>
      </c>
      <c r="I3" t="n">
        <v>201.14</v>
      </c>
    </row>
    <row r="4">
      <c r="A4">
        <f>HYPERLINK("https://www.tradingview.com/chart/?symbol=NSE:BSOFT","BSOFT")</f>
        <v/>
      </c>
      <c r="B4" t="n">
        <v>342.5</v>
      </c>
      <c r="C4" t="n">
        <v>63392961</v>
      </c>
      <c r="D4" t="n">
        <v>5369291</v>
      </c>
      <c r="E4" t="n">
        <v>8.470000000000001</v>
      </c>
      <c r="F4" t="n">
        <v>674114.9</v>
      </c>
      <c r="G4" t="n">
        <v>7.96</v>
      </c>
      <c r="H4" t="n">
        <v>2171.21</v>
      </c>
      <c r="I4" t="n">
        <v>183.9</v>
      </c>
    </row>
    <row r="5">
      <c r="A5">
        <f>HYPERLINK("https://www.tradingview.com/chart/?symbol=NSE:EQUITASBNK","EQUITASBNK")</f>
        <v/>
      </c>
      <c r="B5" t="n">
        <v>57.17</v>
      </c>
      <c r="C5" t="n">
        <v>65518924</v>
      </c>
      <c r="D5" t="n">
        <v>27160679</v>
      </c>
      <c r="E5" t="n">
        <v>41.45</v>
      </c>
      <c r="F5" t="n">
        <v>802875.0666666667</v>
      </c>
      <c r="G5" t="n">
        <v>33.83</v>
      </c>
      <c r="H5" t="n">
        <v>374.57</v>
      </c>
      <c r="I5" t="n">
        <v>155.28</v>
      </c>
    </row>
    <row r="6">
      <c r="A6">
        <f>HYPERLINK("https://www.tradingview.com/chart/?symbol=NSE:DALBHARAT","DALBHARAT")</f>
        <v/>
      </c>
      <c r="B6" t="n">
        <v>1407.9</v>
      </c>
      <c r="C6" t="n">
        <v>1271203</v>
      </c>
      <c r="D6" t="n">
        <v>938989</v>
      </c>
      <c r="E6" t="n">
        <v>73.87</v>
      </c>
      <c r="F6" t="n">
        <v>48876.13333333333</v>
      </c>
      <c r="G6" t="n">
        <v>19.21</v>
      </c>
      <c r="H6" t="n">
        <v>178.97</v>
      </c>
      <c r="I6" t="n">
        <v>132.2</v>
      </c>
    </row>
    <row r="7">
      <c r="A7">
        <f>HYPERLINK("https://www.tradingview.com/chart/?symbol=NSE:SGMART","SGMART")</f>
        <v/>
      </c>
      <c r="B7" t="n">
        <v>864.55</v>
      </c>
      <c r="C7" t="n">
        <v>7433434</v>
      </c>
      <c r="D7" t="n">
        <v>1450665</v>
      </c>
      <c r="E7" t="n">
        <v>19.52</v>
      </c>
      <c r="F7" t="n">
        <v>211664.6333333333</v>
      </c>
      <c r="G7" t="n">
        <v>6.85</v>
      </c>
      <c r="H7" t="n">
        <v>642.66</v>
      </c>
      <c r="I7" t="n">
        <v>125.42</v>
      </c>
    </row>
    <row r="8">
      <c r="A8">
        <f>HYPERLINK("https://www.tradingview.com/chart/?symbol=NSE:VGUARD","VGUARD")</f>
        <v/>
      </c>
      <c r="B8" t="n">
        <v>284.85</v>
      </c>
      <c r="C8" t="n">
        <v>27366811</v>
      </c>
      <c r="D8" t="n">
        <v>3294524</v>
      </c>
      <c r="E8" t="n">
        <v>12.04</v>
      </c>
      <c r="F8" t="n">
        <v>186751.3666666667</v>
      </c>
      <c r="G8" t="n">
        <v>17.64</v>
      </c>
      <c r="H8" t="n">
        <v>779.54</v>
      </c>
      <c r="I8" t="n">
        <v>93.84</v>
      </c>
    </row>
    <row r="9">
      <c r="A9">
        <f>HYPERLINK("https://www.tradingview.com/chart/?symbol=NSE:SANOFICONR","SANOFICONR")</f>
        <v/>
      </c>
      <c r="B9" t="n">
        <v>3468</v>
      </c>
      <c r="C9" t="n">
        <v>547317</v>
      </c>
      <c r="D9" t="n">
        <v>222317</v>
      </c>
      <c r="E9" t="n">
        <v>40.62</v>
      </c>
      <c r="F9" t="n">
        <v>5032.333333333333</v>
      </c>
      <c r="G9" t="n">
        <v>44.18</v>
      </c>
      <c r="H9" t="n">
        <v>189.81</v>
      </c>
      <c r="I9" t="n">
        <v>77.09999999999999</v>
      </c>
    </row>
    <row r="10">
      <c r="A10">
        <f>HYPERLINK("https://www.tradingview.com/chart/?symbol=NSE:LIQGRWBEES","LIQGRWBEES")</f>
        <v/>
      </c>
      <c r="B10" t="n">
        <v>1061.76</v>
      </c>
      <c r="C10" t="n">
        <v>797700</v>
      </c>
      <c r="D10" t="n">
        <v>720859</v>
      </c>
      <c r="E10" t="n">
        <v>90.37</v>
      </c>
      <c r="F10" t="n">
        <v>82456.23333333334</v>
      </c>
      <c r="G10" t="n">
        <v>8.74</v>
      </c>
      <c r="H10" t="n">
        <v>84.7</v>
      </c>
      <c r="I10" t="n">
        <v>76.54000000000001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2026-10-29T22:56:28Z</dcterms:created>
  <dcterms:modified xsi:type="dcterms:W3CDTF">2026-10-29T22:56:28Z</dcterms:modified>
</cp:coreProperties>
</file>