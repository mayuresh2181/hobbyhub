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HYPERLINK("https://www.tradingview.com/chart/?symbol=NSE:MMTC","MMTC")</f>
        <v/>
      </c>
      <c r="B2" t="n">
        <v>5224132</v>
      </c>
      <c r="C2" t="n">
        <v>845558.6896551724</v>
      </c>
      <c r="D2" t="n">
        <v>6.18</v>
      </c>
    </row>
    <row r="3">
      <c r="A3">
        <f>HYPERLINK("https://www.tradingview.com/chart/?symbol=NSE:TTML","TTML")</f>
        <v/>
      </c>
      <c r="B3" t="n">
        <v>6315892</v>
      </c>
      <c r="C3" t="n">
        <v>1040113.551724138</v>
      </c>
      <c r="D3" t="n">
        <v>6.07</v>
      </c>
    </row>
    <row r="4">
      <c r="A4">
        <f>HYPERLINK("https://www.tradingview.com/chart/?symbol=NSE:CYIENT","CYIENT")</f>
        <v/>
      </c>
      <c r="B4" t="n">
        <v>1009831</v>
      </c>
      <c r="C4" t="n">
        <v>172238.6551724138</v>
      </c>
      <c r="D4" t="n">
        <v>5.86</v>
      </c>
    </row>
    <row r="5">
      <c r="A5">
        <f>HYPERLINK("https://www.tradingview.com/chart/?symbol=NSE:AEGISLOG","AEGISLOG")</f>
        <v/>
      </c>
      <c r="B5" t="n">
        <v>2009458</v>
      </c>
      <c r="C5" t="n">
        <v>349729.4482758621</v>
      </c>
      <c r="D5" t="n">
        <v>5.75</v>
      </c>
    </row>
    <row r="6">
      <c r="A6">
        <f>HYPERLINK("https://www.tradingview.com/chart/?symbol=NSE:CHALET","CHALET")</f>
        <v/>
      </c>
      <c r="B6" t="n">
        <v>416732</v>
      </c>
      <c r="C6" t="n">
        <v>78402.6551724138</v>
      </c>
      <c r="D6" t="n">
        <v>5.32</v>
      </c>
    </row>
    <row r="7">
      <c r="A7">
        <f>HYPERLINK("https://www.tradingview.com/chart/?symbol=NSE:AIIL","AIIL")</f>
        <v/>
      </c>
      <c r="B7" t="n">
        <v>989683</v>
      </c>
      <c r="C7" t="n">
        <v>191258.5172413793</v>
      </c>
      <c r="D7" t="n">
        <v>5.17</v>
      </c>
    </row>
    <row r="8">
      <c r="A8">
        <f>HYPERLINK("https://www.tradingview.com/chart/?symbol=NSE:MSUMI","MSUMI")</f>
        <v/>
      </c>
      <c r="B8" t="n">
        <v>18946768</v>
      </c>
      <c r="C8" t="n">
        <v>3925340.379310345</v>
      </c>
      <c r="D8" t="n">
        <v>4.83</v>
      </c>
    </row>
    <row r="9">
      <c r="A9">
        <f>HYPERLINK("https://www.tradingview.com/chart/?symbol=NSE:ABDL","ABDL")</f>
        <v/>
      </c>
      <c r="B9" t="n">
        <v>745082</v>
      </c>
      <c r="C9" t="n">
        <v>169242.7931034483</v>
      </c>
      <c r="D9" t="n">
        <v>4.4</v>
      </c>
    </row>
    <row r="10">
      <c r="A10">
        <f>HYPERLINK("https://www.tradingview.com/chart/?symbol=NSE:IFCI","IFCI")</f>
        <v/>
      </c>
      <c r="B10" t="n">
        <v>48640446</v>
      </c>
      <c r="C10" t="n">
        <v>11211768.48275862</v>
      </c>
      <c r="D10" t="n">
        <v>4.34</v>
      </c>
    </row>
    <row r="11">
      <c r="A11">
        <f>HYPERLINK("https://www.tradingview.com/chart/?symbol=NSE:BIKAJI","BIKAJI")</f>
        <v/>
      </c>
      <c r="B11" t="n">
        <v>322992</v>
      </c>
      <c r="C11" t="n">
        <v>74679.96551724138</v>
      </c>
      <c r="D11" t="n">
        <v>4.33</v>
      </c>
    </row>
    <row r="12">
      <c r="A12">
        <f>HYPERLINK("https://www.tradingview.com/chart/?symbol=NSE:JSWCEMENT","JSWCEMENT")</f>
        <v/>
      </c>
      <c r="B12" t="n">
        <v>5414595</v>
      </c>
      <c r="C12" t="n">
        <v>1308532.482758621</v>
      </c>
      <c r="D12" t="n">
        <v>4.14</v>
      </c>
    </row>
    <row r="13">
      <c r="A13">
        <f>HYPERLINK("https://www.tradingview.com/chart/?symbol=NSE:GLAXO","GLAXO")</f>
        <v/>
      </c>
      <c r="B13" t="n">
        <v>232626</v>
      </c>
      <c r="C13" t="n">
        <v>64088.03448275862</v>
      </c>
      <c r="D13" t="n">
        <v>3.63</v>
      </c>
    </row>
    <row r="14">
      <c r="A14">
        <f>HYPERLINK("https://www.tradingview.com/chart/?symbol=NSE:CHOICEIN","CHOICEIN")</f>
        <v/>
      </c>
      <c r="B14" t="n">
        <v>634685</v>
      </c>
      <c r="C14" t="n">
        <v>184768.8275862069</v>
      </c>
      <c r="D14" t="n">
        <v>3.44</v>
      </c>
    </row>
    <row r="15">
      <c r="A15">
        <f>HYPERLINK("https://www.tradingview.com/chart/?symbol=NSE:ENDURANCE","ENDURANCE")</f>
        <v/>
      </c>
      <c r="B15" t="n">
        <v>255316</v>
      </c>
      <c r="C15" t="n">
        <v>80502.03448275862</v>
      </c>
      <c r="D15" t="n">
        <v>3.17</v>
      </c>
    </row>
    <row r="16">
      <c r="A16">
        <f>HYPERLINK("https://www.tradingview.com/chart/?symbol=NSE:HOMEFIRST","HOMEFIRST")</f>
        <v/>
      </c>
      <c r="B16" t="n">
        <v>380568</v>
      </c>
      <c r="C16" t="n">
        <v>120265.275862069</v>
      </c>
      <c r="D16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2026-06-14T20:08:50Z</dcterms:created>
  <dcterms:modified xsi:type="dcterms:W3CDTF">2026-06-14T20:08:50Z</dcterms:modified>
</cp:coreProperties>
</file>