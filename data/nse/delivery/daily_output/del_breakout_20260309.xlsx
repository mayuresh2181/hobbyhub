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HYPERLINK("https://www.tradingview.com/chart/?symbol=NSE:DCMSHRIRAM", "DCMSHRIRAM")</f>
        <v/>
      </c>
      <c r="B2" t="n">
        <v>98582</v>
      </c>
      <c r="C2" t="n">
        <v>20982.96666666667</v>
      </c>
      <c r="D2" t="n">
        <v>4.7</v>
      </c>
    </row>
    <row r="3">
      <c r="A3">
        <f>HYPERLINK("https://www.tradingview.com/chart/?symbol=NSE:JWL", "JWL")</f>
        <v/>
      </c>
      <c r="B3" t="n">
        <v>2540322</v>
      </c>
      <c r="C3" t="n">
        <v>607630.6666666666</v>
      </c>
      <c r="D3" t="n">
        <v>4.18</v>
      </c>
    </row>
    <row r="4">
      <c r="A4">
        <f>HYPERLINK("https://www.tradingview.com/chart/?symbol=NSE:HINDPETRO", "HINDPETRO")</f>
        <v/>
      </c>
      <c r="B4" t="n">
        <v>11114337</v>
      </c>
      <c r="C4" t="n">
        <v>2870333.7</v>
      </c>
      <c r="D4" t="n">
        <v>3.87</v>
      </c>
    </row>
    <row r="5">
      <c r="A5">
        <f>HYPERLINK("https://www.tradingview.com/chart/?symbol=NSE:BPCL", "BPCL")</f>
        <v/>
      </c>
      <c r="B5" t="n">
        <v>19299354</v>
      </c>
      <c r="C5" t="n">
        <v>5010193.166666667</v>
      </c>
      <c r="D5" t="n">
        <v>3.85</v>
      </c>
    </row>
    <row r="6">
      <c r="A6">
        <f>HYPERLINK("https://www.tradingview.com/chart/?symbol=NSE:ABLBL", "ABLBL")</f>
        <v/>
      </c>
      <c r="B6" t="n">
        <v>7142120</v>
      </c>
      <c r="C6" t="n">
        <v>1857827.9</v>
      </c>
      <c r="D6" t="n">
        <v>3.84</v>
      </c>
    </row>
    <row r="7">
      <c r="A7">
        <f>HYPERLINK("https://www.tradingview.com/chart/?symbol=NSE:ANGELONE", "ANGELONE")</f>
        <v/>
      </c>
      <c r="B7" t="n">
        <v>3329421</v>
      </c>
      <c r="C7" t="n">
        <v>873562.0333333333</v>
      </c>
      <c r="D7" t="n">
        <v>3.81</v>
      </c>
    </row>
    <row r="8">
      <c r="A8">
        <f>HYPERLINK("https://www.tradingview.com/chart/?symbol=NSE:EMCURE", "EMCURE")</f>
        <v/>
      </c>
      <c r="B8" t="n">
        <v>322024</v>
      </c>
      <c r="C8" t="n">
        <v>86657.33333333333</v>
      </c>
      <c r="D8" t="n">
        <v>3.72</v>
      </c>
    </row>
    <row r="9">
      <c r="A9">
        <f>HYPERLINK("https://www.tradingview.com/chart/?symbol=NSE:HONAUT", "HONAUT")</f>
        <v/>
      </c>
      <c r="B9" t="n">
        <v>11133</v>
      </c>
      <c r="C9" t="n">
        <v>3194.966666666667</v>
      </c>
      <c r="D9" t="n">
        <v>3.48</v>
      </c>
    </row>
    <row r="10">
      <c r="A10">
        <f>HYPERLINK("https://www.tradingview.com/chart/?symbol=NSE:PGEL", "PGEL")</f>
        <v/>
      </c>
      <c r="B10" t="n">
        <v>2189552</v>
      </c>
      <c r="C10" t="n">
        <v>691214.8333333334</v>
      </c>
      <c r="D10" t="n">
        <v>3.17</v>
      </c>
    </row>
    <row r="11">
      <c r="A11">
        <f>HYPERLINK("https://www.tradingview.com/chart/?symbol=NSE:CERA", "CERA")</f>
        <v/>
      </c>
      <c r="B11" t="n">
        <v>19391</v>
      </c>
      <c r="C11" t="n">
        <v>6164.166666666667</v>
      </c>
      <c r="D11" t="n">
        <v>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2026-03-10T20:02:08Z</dcterms:created>
  <dcterms:modified xsi:type="dcterms:W3CDTF">2026-03-10T20:02:08Z</dcterms:modified>
</cp:coreProperties>
</file>