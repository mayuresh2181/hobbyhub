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HYPERLINK("https://www.tradingview.com/chart/?symbol=NSE:MEESHO","MEESHO")</f>
        <v/>
      </c>
      <c r="B2" t="n">
        <v>90714244</v>
      </c>
      <c r="C2" t="n">
        <v>6077969.482758621</v>
      </c>
      <c r="D2" t="n">
        <v>14.93</v>
      </c>
    </row>
    <row r="3">
      <c r="A3">
        <f>HYPERLINK("https://www.tradingview.com/chart/?symbol=NSE:NLCINDIA","NLCINDIA")</f>
        <v/>
      </c>
      <c r="B3" t="n">
        <v>17317345</v>
      </c>
      <c r="C3" t="n">
        <v>2639592</v>
      </c>
      <c r="D3" t="n">
        <v>6.56</v>
      </c>
    </row>
    <row r="4">
      <c r="A4">
        <f>HYPERLINK("https://www.tradingview.com/chart/?symbol=NSE:SAPPHIRE","SAPPHIRE")</f>
        <v/>
      </c>
      <c r="B4" t="n">
        <v>4111233</v>
      </c>
      <c r="C4" t="n">
        <v>647894.0689655172</v>
      </c>
      <c r="D4" t="n">
        <v>6.35</v>
      </c>
    </row>
    <row r="5">
      <c r="A5">
        <f>HYPERLINK("https://www.tradingview.com/chart/?symbol=NSE:AFCONS","AFCONS")</f>
        <v/>
      </c>
      <c r="B5" t="n">
        <v>1676727</v>
      </c>
      <c r="C5" t="n">
        <v>298892.9655172414</v>
      </c>
      <c r="D5" t="n">
        <v>5.61</v>
      </c>
    </row>
    <row r="6">
      <c r="A6">
        <f>HYPERLINK("https://www.tradingview.com/chart/?symbol=NSE:DOMS","DOMS")</f>
        <v/>
      </c>
      <c r="B6" t="n">
        <v>63613</v>
      </c>
      <c r="C6" t="n">
        <v>17998.20689655172</v>
      </c>
      <c r="D6" t="n">
        <v>3.53</v>
      </c>
    </row>
    <row r="7">
      <c r="A7">
        <f>HYPERLINK("https://www.tradingview.com/chart/?symbol=NSE:OIL","OIL")</f>
        <v/>
      </c>
      <c r="B7" t="n">
        <v>7157943</v>
      </c>
      <c r="C7" t="n">
        <v>2095215.137931034</v>
      </c>
      <c r="D7" t="n">
        <v>3.42</v>
      </c>
    </row>
    <row r="8">
      <c r="A8">
        <f>HYPERLINK("https://www.tradingview.com/chart/?symbol=NSE:NYKAA","NYKAA")</f>
        <v/>
      </c>
      <c r="B8" t="n">
        <v>8797839</v>
      </c>
      <c r="C8" t="n">
        <v>2593134.310344827</v>
      </c>
      <c r="D8" t="n">
        <v>3.39</v>
      </c>
    </row>
    <row r="9">
      <c r="A9">
        <f>HYPERLINK("https://www.tradingview.com/chart/?symbol=NSE:FACT","FACT")</f>
        <v/>
      </c>
      <c r="B9" t="n">
        <v>188793</v>
      </c>
      <c r="C9" t="n">
        <v>56086.65517241379</v>
      </c>
      <c r="D9" t="n">
        <v>3.37</v>
      </c>
    </row>
    <row r="10">
      <c r="A10">
        <f>HYPERLINK("https://www.tradingview.com/chart/?symbol=NSE:CHAMBLFERT","CHAMBLFERT")</f>
        <v/>
      </c>
      <c r="B10" t="n">
        <v>1303241</v>
      </c>
      <c r="C10" t="n">
        <v>417335.5172413793</v>
      </c>
      <c r="D10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2026-06-11T03:55:55Z</dcterms:created>
  <dcterms:modified xsi:type="dcterms:W3CDTF">2026-06-11T03:55:55Z</dcterms:modified>
</cp:coreProperties>
</file>