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HYPERLINK("https://www.tradingview.com/chart/?symbol=NSE:RITES","RITES")</f>
        <v/>
      </c>
      <c r="B2" t="n">
        <v>3625899</v>
      </c>
      <c r="C2" t="n">
        <v>189112.0689655172</v>
      </c>
      <c r="D2" t="n">
        <v>19.17</v>
      </c>
    </row>
    <row r="3">
      <c r="A3">
        <f>HYPERLINK("https://www.tradingview.com/chart/?symbol=NSE:KPITTECH","KPITTECH")</f>
        <v/>
      </c>
      <c r="B3" t="n">
        <v>6576647</v>
      </c>
      <c r="C3" t="n">
        <v>524108.5517241379</v>
      </c>
      <c r="D3" t="n">
        <v>12.55</v>
      </c>
    </row>
    <row r="4">
      <c r="A4">
        <f>HYPERLINK("https://www.tradingview.com/chart/?symbol=NSE:RHIM","RHIM")</f>
        <v/>
      </c>
      <c r="B4" t="n">
        <v>2431443</v>
      </c>
      <c r="C4" t="n">
        <v>234140.3448275862</v>
      </c>
      <c r="D4" t="n">
        <v>10.38</v>
      </c>
    </row>
    <row r="5">
      <c r="A5">
        <f>HYPERLINK("https://www.tradingview.com/chart/?symbol=NSE:RAMCOCEM","RAMCOCEM")</f>
        <v/>
      </c>
      <c r="B5" t="n">
        <v>831075</v>
      </c>
      <c r="C5" t="n">
        <v>132179.275862069</v>
      </c>
      <c r="D5" t="n">
        <v>6.29</v>
      </c>
    </row>
    <row r="6">
      <c r="A6">
        <f>HYPERLINK("https://www.tradingview.com/chart/?symbol=NSE:RPOWER","RPOWER")</f>
        <v/>
      </c>
      <c r="B6" t="n">
        <v>71411599</v>
      </c>
      <c r="C6" t="n">
        <v>11872494.10344828</v>
      </c>
      <c r="D6" t="n">
        <v>6.01</v>
      </c>
    </row>
    <row r="7">
      <c r="A7">
        <f>HYPERLINK("https://www.tradingview.com/chart/?symbol=NSE:IKS","IKS")</f>
        <v/>
      </c>
      <c r="B7" t="n">
        <v>391040</v>
      </c>
      <c r="C7" t="n">
        <v>71667.24137931035</v>
      </c>
      <c r="D7" t="n">
        <v>5.46</v>
      </c>
    </row>
    <row r="8">
      <c r="A8">
        <f>HYPERLINK("https://www.tradingview.com/chart/?symbol=NSE:BEML","BEML")</f>
        <v/>
      </c>
      <c r="B8" t="n">
        <v>483040</v>
      </c>
      <c r="C8" t="n">
        <v>91588.79310344828</v>
      </c>
      <c r="D8" t="n">
        <v>5.27</v>
      </c>
    </row>
    <row r="9">
      <c r="A9">
        <f>HYPERLINK("https://www.tradingview.com/chart/?symbol=NSE:SOBHA","SOBHA")</f>
        <v/>
      </c>
      <c r="B9" t="n">
        <v>175661</v>
      </c>
      <c r="C9" t="n">
        <v>35802.65517241379</v>
      </c>
      <c r="D9" t="n">
        <v>4.91</v>
      </c>
    </row>
    <row r="10">
      <c r="A10">
        <f>HYPERLINK("https://www.tradingview.com/chart/?symbol=NSE:URBANCO","URBANCO")</f>
        <v/>
      </c>
      <c r="B10" t="n">
        <v>7645225</v>
      </c>
      <c r="C10" t="n">
        <v>1641109.206896552</v>
      </c>
      <c r="D10" t="n">
        <v>4.66</v>
      </c>
    </row>
    <row r="11">
      <c r="A11">
        <f>HYPERLINK("https://www.tradingview.com/chart/?symbol=NSE:DEEPAKNTR","DEEPAKNTR")</f>
        <v/>
      </c>
      <c r="B11" t="n">
        <v>295234</v>
      </c>
      <c r="C11" t="n">
        <v>65388.31034482759</v>
      </c>
      <c r="D11" t="n">
        <v>4.52</v>
      </c>
    </row>
    <row r="12">
      <c r="A12">
        <f>HYPERLINK("https://www.tradingview.com/chart/?symbol=NSE:TATAELXSI","TATAELXSI")</f>
        <v/>
      </c>
      <c r="B12" t="n">
        <v>454068</v>
      </c>
      <c r="C12" t="n">
        <v>102277</v>
      </c>
      <c r="D12" t="n">
        <v>4.44</v>
      </c>
    </row>
    <row r="13">
      <c r="A13">
        <f>HYPERLINK("https://www.tradingview.com/chart/?symbol=NSE:HEXT","HEXT")</f>
        <v/>
      </c>
      <c r="B13" t="n">
        <v>1250917</v>
      </c>
      <c r="C13" t="n">
        <v>286780.1034482759</v>
      </c>
      <c r="D13" t="n">
        <v>4.36</v>
      </c>
    </row>
    <row r="14">
      <c r="A14">
        <f>HYPERLINK("https://www.tradingview.com/chart/?symbol=NSE:DELHIVERY","DELHIVERY")</f>
        <v/>
      </c>
      <c r="B14" t="n">
        <v>7333618</v>
      </c>
      <c r="C14" t="n">
        <v>1703243.620689655</v>
      </c>
      <c r="D14" t="n">
        <v>4.31</v>
      </c>
    </row>
    <row r="15">
      <c r="A15">
        <f>HYPERLINK("https://www.tradingview.com/chart/?symbol=NSE:LATENTVIEW","LATENTVIEW")</f>
        <v/>
      </c>
      <c r="B15" t="n">
        <v>1240204</v>
      </c>
      <c r="C15" t="n">
        <v>332081.1724137931</v>
      </c>
      <c r="D15" t="n">
        <v>3.73</v>
      </c>
    </row>
    <row r="16">
      <c r="A16">
        <f>HYPERLINK("https://www.tradingview.com/chart/?symbol=NSE:MAPMYINDIA","MAPMYINDIA")</f>
        <v/>
      </c>
      <c r="B16" t="n">
        <v>444923</v>
      </c>
      <c r="C16" t="n">
        <v>119549.6206896552</v>
      </c>
      <c r="D16" t="n">
        <v>3.72</v>
      </c>
    </row>
    <row r="17">
      <c r="A17">
        <f>HYPERLINK("https://www.tradingview.com/chart/?symbol=NSE:TARIL","TARIL")</f>
        <v/>
      </c>
      <c r="B17" t="n">
        <v>3351316</v>
      </c>
      <c r="C17" t="n">
        <v>1111340.413793104</v>
      </c>
      <c r="D17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2026-07-02T20:05:27Z</dcterms:created>
  <dcterms:modified xsi:type="dcterms:W3CDTF">2026-07-02T20:05:27Z</dcterms:modified>
</cp:coreProperties>
</file>