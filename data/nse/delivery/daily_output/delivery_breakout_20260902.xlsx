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HYPERLINK("https://www.tradingview.com/chart/?symbol=NSE:IFCI","IFCI")</f>
        <v/>
      </c>
      <c r="B2" t="n">
        <v>98.31999999999999</v>
      </c>
      <c r="C2" t="n">
        <v>428062214</v>
      </c>
      <c r="D2" t="n">
        <v>46021160</v>
      </c>
      <c r="E2" t="n">
        <v>10.75</v>
      </c>
      <c r="F2" t="n">
        <v>7439771.766666667</v>
      </c>
      <c r="G2" t="n">
        <v>6.19</v>
      </c>
      <c r="H2" t="n">
        <v>4208.71</v>
      </c>
      <c r="I2" t="n">
        <v>452.48</v>
      </c>
    </row>
    <row r="3">
      <c r="A3">
        <f>HYPERLINK("https://www.tradingview.com/chart/?symbol=NSE:TBZ","TBZ")</f>
        <v/>
      </c>
      <c r="B3" t="n">
        <v>418.25</v>
      </c>
      <c r="C3" t="n">
        <v>27976693</v>
      </c>
      <c r="D3" t="n">
        <v>2933368</v>
      </c>
      <c r="E3" t="n">
        <v>10.49</v>
      </c>
      <c r="F3" t="n">
        <v>585801.5</v>
      </c>
      <c r="G3" t="n">
        <v>5.01</v>
      </c>
      <c r="H3" t="n">
        <v>1170.13</v>
      </c>
      <c r="I3" t="n">
        <v>122.69</v>
      </c>
    </row>
    <row r="4">
      <c r="A4">
        <f>HYPERLINK("https://www.tradingview.com/chart/?symbol=NSE:ANTELOPUS","ANTELOPUS")</f>
        <v/>
      </c>
      <c r="B4" t="n">
        <v>951.15</v>
      </c>
      <c r="C4" t="n">
        <v>12446135</v>
      </c>
      <c r="D4" t="n">
        <v>953125</v>
      </c>
      <c r="E4" t="n">
        <v>7.66</v>
      </c>
      <c r="F4" t="n">
        <v>73951.5</v>
      </c>
      <c r="G4" t="n">
        <v>12.89</v>
      </c>
      <c r="H4" t="n">
        <v>1183.81</v>
      </c>
      <c r="I4" t="n">
        <v>90.66</v>
      </c>
    </row>
    <row r="5">
      <c r="A5">
        <f>HYPERLINK("https://www.tradingview.com/chart/?symbol=NSE:JYOTHYLAB","JYOTHYLAB")</f>
        <v/>
      </c>
      <c r="B5" t="n">
        <v>202.09</v>
      </c>
      <c r="C5" t="n">
        <v>8133068</v>
      </c>
      <c r="D5" t="n">
        <v>4189993</v>
      </c>
      <c r="E5" t="n">
        <v>51.52</v>
      </c>
      <c r="F5" t="n">
        <v>406926</v>
      </c>
      <c r="G5" t="n">
        <v>10.3</v>
      </c>
      <c r="H5" t="n">
        <v>164.36</v>
      </c>
      <c r="I5" t="n">
        <v>84.68000000000001</v>
      </c>
    </row>
    <row r="6">
      <c r="A6">
        <f>HYPERLINK("https://www.tradingview.com/chart/?symbol=NSE:GUJTHEM","GUJTHEM")</f>
        <v/>
      </c>
      <c r="B6" t="n">
        <v>413.05</v>
      </c>
      <c r="C6" t="n">
        <v>1719974</v>
      </c>
      <c r="D6" t="n">
        <v>1541971</v>
      </c>
      <c r="E6" t="n">
        <v>89.65000000000001</v>
      </c>
      <c r="F6" t="n">
        <v>117947.2333333333</v>
      </c>
      <c r="G6" t="n">
        <v>13.07</v>
      </c>
      <c r="H6" t="n">
        <v>71.04000000000001</v>
      </c>
      <c r="I6" t="n">
        <v>63.69</v>
      </c>
    </row>
    <row r="7">
      <c r="A7">
        <f>HYPERLINK("https://www.tradingview.com/chart/?symbol=NSE:HERITGFOOD","HERITGFOOD")</f>
        <v/>
      </c>
      <c r="B7" t="n">
        <v>378.75</v>
      </c>
      <c r="C7" t="n">
        <v>4731013</v>
      </c>
      <c r="D7" t="n">
        <v>1375463</v>
      </c>
      <c r="E7" t="n">
        <v>29.07</v>
      </c>
      <c r="F7" t="n">
        <v>154275.7</v>
      </c>
      <c r="G7" t="n">
        <v>8.92</v>
      </c>
      <c r="H7" t="n">
        <v>179.19</v>
      </c>
      <c r="I7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2026-09-02T21:14:22Z</dcterms:created>
  <dcterms:modified xsi:type="dcterms:W3CDTF">2026-09-02T21:14:23Z</dcterms:modified>
</cp:coreProperties>
</file>