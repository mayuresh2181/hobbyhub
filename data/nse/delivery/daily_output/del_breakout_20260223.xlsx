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HYPERLINK("https://www.tradingview.com/chart/?symbol=NSE:IDFCFIRSTB", "IDFCFIRSTB")</f>
        <v/>
      </c>
      <c r="B2" t="n">
        <v>202056656</v>
      </c>
      <c r="C2" t="n">
        <v>19064574.53333334</v>
      </c>
      <c r="D2" t="n">
        <v>10.6</v>
      </c>
    </row>
    <row r="3">
      <c r="A3">
        <f>HYPERLINK("https://www.tradingview.com/chart/?symbol=NSE:BLUEJET", "BLUEJET")</f>
        <v/>
      </c>
      <c r="B3" t="n">
        <v>1289213</v>
      </c>
      <c r="C3" t="n">
        <v>283566.8</v>
      </c>
      <c r="D3" t="n">
        <v>4.55</v>
      </c>
    </row>
    <row r="4">
      <c r="A4">
        <f>HYPERLINK("https://www.tradingview.com/chart/?symbol=NSE:ATUL", "ATUL")</f>
        <v/>
      </c>
      <c r="B4" t="n">
        <v>56278</v>
      </c>
      <c r="C4" t="n">
        <v>12619.4</v>
      </c>
      <c r="D4" t="n">
        <v>4.46</v>
      </c>
    </row>
    <row r="5">
      <c r="A5">
        <f>HYPERLINK("https://www.tradingview.com/chart/?symbol=NSE:AUBANK", "AUBANK")</f>
        <v/>
      </c>
      <c r="B5" t="n">
        <v>6012770</v>
      </c>
      <c r="C5" t="n">
        <v>1496418.433333333</v>
      </c>
      <c r="D5" t="n">
        <v>4.02</v>
      </c>
    </row>
    <row r="6">
      <c r="A6">
        <f>HYPERLINK("https://www.tradingview.com/chart/?symbol=NSE:UPL", "UPL")</f>
        <v/>
      </c>
      <c r="B6" t="n">
        <v>6626387</v>
      </c>
      <c r="C6" t="n">
        <v>1726907.233333333</v>
      </c>
      <c r="D6" t="n">
        <v>3.84</v>
      </c>
    </row>
    <row r="7">
      <c r="A7">
        <f>HYPERLINK("https://www.tradingview.com/chart/?symbol=NSE:GODFRYPHLP", "GODFRYPHLP")</f>
        <v/>
      </c>
      <c r="B7" t="n">
        <v>811344</v>
      </c>
      <c r="C7" t="n">
        <v>228387.1333333333</v>
      </c>
      <c r="D7" t="n">
        <v>3.55</v>
      </c>
    </row>
    <row r="8">
      <c r="A8">
        <f>HYPERLINK("https://www.tradingview.com/chart/?symbol=NSE:CCL", "CCL")</f>
        <v/>
      </c>
      <c r="B8" t="n">
        <v>402304</v>
      </c>
      <c r="C8" t="n">
        <v>126359.3333333333</v>
      </c>
      <c r="D8" t="n">
        <v>3.18</v>
      </c>
    </row>
    <row r="9">
      <c r="A9">
        <f>HYPERLINK("https://www.tradingview.com/chart/?symbol=NSE:INOXWIND", "INOXWIND")</f>
        <v/>
      </c>
      <c r="B9" t="n">
        <v>10933450</v>
      </c>
      <c r="C9" t="n">
        <v>3593209.866666667</v>
      </c>
      <c r="D9" t="n">
        <v>3.04</v>
      </c>
    </row>
    <row r="10">
      <c r="A10">
        <f>HYPERLINK("https://www.tradingview.com/chart/?symbol=NSE:JSL", "JSL")</f>
        <v/>
      </c>
      <c r="B10" t="n">
        <v>1018377</v>
      </c>
      <c r="C10" t="n">
        <v>337471.8666666666</v>
      </c>
      <c r="D10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2026-02-24T05:45:19Z</dcterms:created>
  <dcterms:modified xsi:type="dcterms:W3CDTF">2026-02-24T05:45:19Z</dcterms:modified>
</cp:coreProperties>
</file>