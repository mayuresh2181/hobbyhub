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2" customWidth="1" min="3" max="3"/>
    <col width="19" customWidth="1" min="4" max="4"/>
  </cols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DELIVERY_RATIO</t>
        </is>
      </c>
    </row>
    <row r="2">
      <c r="A2">
        <f>HYPERLINK("https://www.tradingview.com/chart/?symbol=NSE:ZFCVINDIA","ZFCVINDIA")</f>
        <v/>
      </c>
      <c r="B2" t="n">
        <v>206133</v>
      </c>
      <c r="C2" t="n">
        <v>11976.65517241379</v>
      </c>
      <c r="D2" t="n">
        <v>17.21</v>
      </c>
    </row>
    <row r="3">
      <c r="A3">
        <f>HYPERLINK("https://www.tradingview.com/chart/?symbol=NSE:IRFC","IRFC")</f>
        <v/>
      </c>
      <c r="B3" t="n">
        <v>30236097</v>
      </c>
      <c r="C3" t="n">
        <v>3219273.827586207</v>
      </c>
      <c r="D3" t="n">
        <v>9.390000000000001</v>
      </c>
    </row>
    <row r="4">
      <c r="A4">
        <f>HYPERLINK("https://www.tradingview.com/chart/?symbol=NSE:JSWINFRA","JSWINFRA")</f>
        <v/>
      </c>
      <c r="B4" t="n">
        <v>13876584</v>
      </c>
      <c r="C4" t="n">
        <v>1516632.379310345</v>
      </c>
      <c r="D4" t="n">
        <v>9.15</v>
      </c>
    </row>
    <row r="5">
      <c r="A5">
        <f>HYPERLINK("https://www.tradingview.com/chart/?symbol=NSE:M&amp;MFIN","M&amp;MFIN")</f>
        <v/>
      </c>
      <c r="B5" t="n">
        <v>8214253</v>
      </c>
      <c r="C5" t="n">
        <v>926705.3428571429</v>
      </c>
      <c r="D5" t="n">
        <v>8.859999999999999</v>
      </c>
    </row>
    <row r="6">
      <c r="A6">
        <f>HYPERLINK("https://www.tradingview.com/chart/?symbol=NSE:DELHIVERY","DELHIVERY")</f>
        <v/>
      </c>
      <c r="B6" t="n">
        <v>11737253</v>
      </c>
      <c r="C6" t="n">
        <v>1345347.827586207</v>
      </c>
      <c r="D6" t="n">
        <v>8.720000000000001</v>
      </c>
    </row>
    <row r="7">
      <c r="A7">
        <f>HYPERLINK("https://www.tradingview.com/chart/?symbol=NSE:KPRMILL","KPRMILL")</f>
        <v/>
      </c>
      <c r="B7" t="n">
        <v>1257013</v>
      </c>
      <c r="C7" t="n">
        <v>182168.8275862069</v>
      </c>
      <c r="D7" t="n">
        <v>6.9</v>
      </c>
    </row>
    <row r="8">
      <c r="A8">
        <f>HYPERLINK("https://www.tradingview.com/chart/?symbol=NSE:CGCL","CGCL")</f>
        <v/>
      </c>
      <c r="B8" t="n">
        <v>7038738</v>
      </c>
      <c r="C8" t="n">
        <v>1327809.896551724</v>
      </c>
      <c r="D8" t="n">
        <v>5.3</v>
      </c>
    </row>
    <row r="9">
      <c r="A9">
        <f>HYPERLINK("https://www.tradingview.com/chart/?symbol=NSE:SUMICHEM","SUMICHEM")</f>
        <v/>
      </c>
      <c r="B9" t="n">
        <v>916409</v>
      </c>
      <c r="C9" t="n">
        <v>183300.9655172414</v>
      </c>
      <c r="D9" t="n">
        <v>5</v>
      </c>
    </row>
    <row r="10">
      <c r="A10">
        <f>HYPERLINK("https://www.tradingview.com/chart/?symbol=NSE:TRIDENT","TRIDENT")</f>
        <v/>
      </c>
      <c r="B10" t="n">
        <v>9431300</v>
      </c>
      <c r="C10" t="n">
        <v>2255457.24137931</v>
      </c>
      <c r="D10" t="n">
        <v>4.18</v>
      </c>
    </row>
    <row r="11">
      <c r="A11">
        <f>HYPERLINK("https://www.tradingview.com/chart/?symbol=NSE:GMRAIRPORT","GMRAIRPORT")</f>
        <v/>
      </c>
      <c r="B11" t="n">
        <v>45530356</v>
      </c>
      <c r="C11" t="n">
        <v>11310610.13793103</v>
      </c>
      <c r="D11" t="n">
        <v>4.03</v>
      </c>
    </row>
    <row r="12">
      <c r="A12">
        <f>HYPERLINK("https://www.tradingview.com/chart/?symbol=NSE:APTUS","APTUS")</f>
        <v/>
      </c>
      <c r="B12" t="n">
        <v>1581585</v>
      </c>
      <c r="C12" t="n">
        <v>403747.3103448276</v>
      </c>
      <c r="D12" t="n">
        <v>3.92</v>
      </c>
    </row>
    <row r="13">
      <c r="A13">
        <f>HYPERLINK("https://www.tradingview.com/chart/?symbol=NSE:AUBANK","AUBANK")</f>
        <v/>
      </c>
      <c r="B13" t="n">
        <v>3158824</v>
      </c>
      <c r="C13" t="n">
        <v>875789.7586206896</v>
      </c>
      <c r="D13" t="n">
        <v>3.61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2026-06-25T20:34:13Z</dcterms:created>
  <dcterms:modified xsi:type="dcterms:W3CDTF">2026-06-25T20:34:13Z</dcterms:modified>
</cp:coreProperties>
</file>