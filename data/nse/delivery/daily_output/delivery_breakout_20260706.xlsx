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HYPERLINK("https://www.tradingview.com/chart/?symbol=NSE:CRISIL","CRISIL")</f>
        <v/>
      </c>
      <c r="B2" t="n">
        <v>107572</v>
      </c>
      <c r="C2" t="n">
        <v>24249.58620689655</v>
      </c>
      <c r="D2" t="n">
        <v>4.44</v>
      </c>
    </row>
    <row r="3">
      <c r="A3">
        <f>HYPERLINK("https://www.tradingview.com/chart/?symbol=NSE:SWANCORP","SWANCORP")</f>
        <v/>
      </c>
      <c r="B3" t="n">
        <v>1209968</v>
      </c>
      <c r="C3" t="n">
        <v>299641.4827586207</v>
      </c>
      <c r="D3" t="n">
        <v>4.04</v>
      </c>
    </row>
    <row r="4">
      <c r="A4">
        <f>HYPERLINK("https://www.tradingview.com/chart/?symbol=NSE:BRIGADE","BRIGADE")</f>
        <v/>
      </c>
      <c r="B4" t="n">
        <v>1054326</v>
      </c>
      <c r="C4" t="n">
        <v>262385.2413793103</v>
      </c>
      <c r="D4" t="n">
        <v>4.02</v>
      </c>
    </row>
    <row r="5">
      <c r="A5">
        <f>HYPERLINK("https://www.tradingview.com/chart/?symbol=NSE:IRB","IRB")</f>
        <v/>
      </c>
      <c r="B5" t="n">
        <v>20902675</v>
      </c>
      <c r="C5" t="n">
        <v>5255285.862068965</v>
      </c>
      <c r="D5" t="n">
        <v>3.98</v>
      </c>
    </row>
    <row r="6">
      <c r="A6">
        <f>HYPERLINK("https://www.tradingview.com/chart/?symbol=NSE:AEGISVOPAK","AEGISVOPAK")</f>
        <v/>
      </c>
      <c r="B6" t="n">
        <v>1544614</v>
      </c>
      <c r="C6" t="n">
        <v>401343.4137931034</v>
      </c>
      <c r="D6" t="n">
        <v>3.85</v>
      </c>
    </row>
    <row r="7">
      <c r="A7">
        <f>HYPERLINK("https://www.tradingview.com/chart/?symbol=NSE:WELCORP","WELCORP")</f>
        <v/>
      </c>
      <c r="B7" t="n">
        <v>1707156</v>
      </c>
      <c r="C7" t="n">
        <v>452747.4137931034</v>
      </c>
      <c r="D7" t="n">
        <v>3.77</v>
      </c>
    </row>
    <row r="8">
      <c r="A8">
        <f>HYPERLINK("https://www.tradingview.com/chart/?symbol=NSE:SOBHA","SOBHA")</f>
        <v/>
      </c>
      <c r="B8" t="n">
        <v>181356</v>
      </c>
      <c r="C8" t="n">
        <v>48744.1724137931</v>
      </c>
      <c r="D8" t="n">
        <v>3.72</v>
      </c>
    </row>
    <row r="9">
      <c r="A9">
        <f>HYPERLINK("https://www.tradingview.com/chart/?symbol=NSE:UTIAMC","UTIAMC")</f>
        <v/>
      </c>
      <c r="B9" t="n">
        <v>262081</v>
      </c>
      <c r="C9" t="n">
        <v>71763.96551724138</v>
      </c>
      <c r="D9" t="n">
        <v>3.65</v>
      </c>
    </row>
    <row r="10">
      <c r="A10">
        <f>HYPERLINK("https://www.tradingview.com/chart/?symbol=NSE:ABDL","ABDL")</f>
        <v/>
      </c>
      <c r="B10" t="n">
        <v>642944</v>
      </c>
      <c r="C10" t="n">
        <v>176822.5172413793</v>
      </c>
      <c r="D10" t="n">
        <v>3.64</v>
      </c>
    </row>
    <row r="11">
      <c r="A11">
        <f>HYPERLINK("https://www.tradingview.com/chart/?symbol=NSE:LALPATHLAB","LALPATHLAB")</f>
        <v/>
      </c>
      <c r="B11" t="n">
        <v>622631</v>
      </c>
      <c r="C11" t="n">
        <v>178172.3448275862</v>
      </c>
      <c r="D11" t="n">
        <v>3.49</v>
      </c>
    </row>
    <row r="12">
      <c r="A12">
        <f>HYPERLINK("https://www.tradingview.com/chart/?symbol=NSE:PHOENIXLTD","PHOENIXLTD")</f>
        <v/>
      </c>
      <c r="B12" t="n">
        <v>1128703</v>
      </c>
      <c r="C12" t="n">
        <v>328591.0344827586</v>
      </c>
      <c r="D12" t="n">
        <v>3.43</v>
      </c>
    </row>
    <row r="13">
      <c r="A13">
        <f>HYPERLINK("https://www.tradingview.com/chart/?symbol=NSE:MANAPPURAM","MANAPPURAM")</f>
        <v/>
      </c>
      <c r="B13" t="n">
        <v>4410827</v>
      </c>
      <c r="C13" t="n">
        <v>1318160.24137931</v>
      </c>
      <c r="D13" t="n">
        <v>3.35</v>
      </c>
    </row>
    <row r="14">
      <c r="A14">
        <f>HYPERLINK("https://www.tradingview.com/chart/?symbol=NSE:ZENSARTECH","ZENSARTECH")</f>
        <v/>
      </c>
      <c r="B14" t="n">
        <v>1523962</v>
      </c>
      <c r="C14" t="n">
        <v>455677.2413793103</v>
      </c>
      <c r="D14" t="n">
        <v>3.34</v>
      </c>
    </row>
    <row r="15">
      <c r="A15">
        <f>HYPERLINK("https://www.tradingview.com/chart/?symbol=NSE:SBFC","SBFC")</f>
        <v/>
      </c>
      <c r="B15" t="n">
        <v>2009631</v>
      </c>
      <c r="C15" t="n">
        <v>626333.6206896552</v>
      </c>
      <c r="D15" t="n">
        <v>3.21</v>
      </c>
    </row>
    <row r="16">
      <c r="A16">
        <f>HYPERLINK("https://www.tradingview.com/chart/?symbol=NSE:WHIRLPOOL","WHIRLPOOL")</f>
        <v/>
      </c>
      <c r="B16" t="n">
        <v>414437</v>
      </c>
      <c r="C16" t="n">
        <v>137036.0344827586</v>
      </c>
      <c r="D16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2026-07-07T20:29:12Z</dcterms:created>
  <dcterms:modified xsi:type="dcterms:W3CDTF">2026-07-07T20:29:12Z</dcterms:modified>
</cp:coreProperties>
</file>