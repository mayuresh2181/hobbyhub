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HYPERLINK("https://www.tradingview.com/chart/?symbol=NSE:ADANIENSOL","ADANIENSOL")</f>
        <v/>
      </c>
      <c r="B2" t="n">
        <v>1616</v>
      </c>
      <c r="C2" t="n">
        <v>7047548</v>
      </c>
      <c r="D2" t="n">
        <v>4691915</v>
      </c>
      <c r="E2" t="n">
        <v>66.58</v>
      </c>
      <c r="F2" t="n">
        <v>802282.7333333333</v>
      </c>
      <c r="G2" t="n">
        <v>5.85</v>
      </c>
      <c r="H2" t="n">
        <v>1138.88</v>
      </c>
      <c r="I2" t="n">
        <v>758.21</v>
      </c>
    </row>
    <row r="3">
      <c r="A3">
        <f>HYPERLINK("https://www.tradingview.com/chart/?symbol=NSE:LGEINDIA","LGEINDIA")</f>
        <v/>
      </c>
      <c r="B3" t="n">
        <v>1729.7</v>
      </c>
      <c r="C3" t="n">
        <v>9832158</v>
      </c>
      <c r="D3" t="n">
        <v>3684320</v>
      </c>
      <c r="E3" t="n">
        <v>37.47</v>
      </c>
      <c r="F3" t="n">
        <v>194576.3666666667</v>
      </c>
      <c r="G3" t="n">
        <v>18.94</v>
      </c>
      <c r="H3" t="n">
        <v>1700.67</v>
      </c>
      <c r="I3" t="n">
        <v>637.28</v>
      </c>
    </row>
    <row r="4">
      <c r="A4">
        <f>HYPERLINK("https://www.tradingview.com/chart/?symbol=NSE:HONASA","HONASA")</f>
        <v/>
      </c>
      <c r="B4" t="n">
        <v>502.8</v>
      </c>
      <c r="C4" t="n">
        <v>22425106</v>
      </c>
      <c r="D4" t="n">
        <v>4919015</v>
      </c>
      <c r="E4" t="n">
        <v>21.94</v>
      </c>
      <c r="F4" t="n">
        <v>473466.9666666667</v>
      </c>
      <c r="G4" t="n">
        <v>10.39</v>
      </c>
      <c r="H4" t="n">
        <v>1127.53</v>
      </c>
      <c r="I4" t="n">
        <v>247.33</v>
      </c>
    </row>
    <row r="5">
      <c r="A5">
        <f>HYPERLINK("https://www.tradingview.com/chart/?symbol=NSE:SUDARSCHEM","SUDARSCHEM")</f>
        <v/>
      </c>
      <c r="B5" t="n">
        <v>1118.1</v>
      </c>
      <c r="C5" t="n">
        <v>3806017</v>
      </c>
      <c r="D5" t="n">
        <v>2079717</v>
      </c>
      <c r="E5" t="n">
        <v>54.64</v>
      </c>
      <c r="F5" t="n">
        <v>162410.9666666667</v>
      </c>
      <c r="G5" t="n">
        <v>12.81</v>
      </c>
      <c r="H5" t="n">
        <v>425.55</v>
      </c>
      <c r="I5" t="n">
        <v>232.53</v>
      </c>
    </row>
    <row r="6">
      <c r="A6">
        <f>HYPERLINK("https://www.tradingview.com/chart/?symbol=NSE:MANORAMA","MANORAMA")</f>
        <v/>
      </c>
      <c r="B6" t="n">
        <v>1737.1</v>
      </c>
      <c r="C6" t="n">
        <v>7298393</v>
      </c>
      <c r="D6" t="n">
        <v>1043993</v>
      </c>
      <c r="E6" t="n">
        <v>14.3</v>
      </c>
      <c r="F6" t="n">
        <v>78916.3</v>
      </c>
      <c r="G6" t="n">
        <v>13.23</v>
      </c>
      <c r="H6" t="n">
        <v>1267.8</v>
      </c>
      <c r="I6" t="n">
        <v>181.35</v>
      </c>
    </row>
    <row r="7">
      <c r="A7">
        <f>HYPERLINK("https://www.tradingview.com/chart/?symbol=NSE:INDIGOPNTS","INDIGOPNTS")</f>
        <v/>
      </c>
      <c r="B7" t="n">
        <v>1148.7</v>
      </c>
      <c r="C7" t="n">
        <v>2405565</v>
      </c>
      <c r="D7" t="n">
        <v>1012492</v>
      </c>
      <c r="E7" t="n">
        <v>42.09</v>
      </c>
      <c r="F7" t="n">
        <v>30394.1</v>
      </c>
      <c r="G7" t="n">
        <v>33.31</v>
      </c>
      <c r="H7" t="n">
        <v>276.33</v>
      </c>
      <c r="I7" t="n">
        <v>116.3</v>
      </c>
    </row>
    <row r="8">
      <c r="A8">
        <f>HYPERLINK("https://www.tradingview.com/chart/?symbol=NSE:WELSPUNLIV","WELSPUNLIV")</f>
        <v/>
      </c>
      <c r="B8" t="n">
        <v>164.06</v>
      </c>
      <c r="C8" t="n">
        <v>73543291</v>
      </c>
      <c r="D8" t="n">
        <v>6012069</v>
      </c>
      <c r="E8" t="n">
        <v>8.17</v>
      </c>
      <c r="F8" t="n">
        <v>751170.5</v>
      </c>
      <c r="G8" t="n">
        <v>8</v>
      </c>
      <c r="H8" t="n">
        <v>1206.55</v>
      </c>
      <c r="I8" t="n">
        <v>98.63</v>
      </c>
    </row>
    <row r="9">
      <c r="A9">
        <f>HYPERLINK("https://www.tradingview.com/chart/?symbol=NSE:BALUFORGE","BALUFORGE")</f>
        <v/>
      </c>
      <c r="B9" t="n">
        <v>493.75</v>
      </c>
      <c r="C9" t="n">
        <v>8980616</v>
      </c>
      <c r="D9" t="n">
        <v>1821024</v>
      </c>
      <c r="E9" t="n">
        <v>20.28</v>
      </c>
      <c r="F9" t="n">
        <v>265422.1</v>
      </c>
      <c r="G9" t="n">
        <v>6.86</v>
      </c>
      <c r="H9" t="n">
        <v>443.42</v>
      </c>
      <c r="I9" t="n">
        <v>89.91</v>
      </c>
    </row>
    <row r="10">
      <c r="A10">
        <f>HYPERLINK("https://www.tradingview.com/chart/?symbol=NSE:SHANTIGOLD","SHANTIGOLD")</f>
        <v/>
      </c>
      <c r="B10" t="n">
        <v>247.66</v>
      </c>
      <c r="C10" t="n">
        <v>8748136</v>
      </c>
      <c r="D10" t="n">
        <v>2684180</v>
      </c>
      <c r="E10" t="n">
        <v>30.68</v>
      </c>
      <c r="F10" t="n">
        <v>423786.7</v>
      </c>
      <c r="G10" t="n">
        <v>6.33</v>
      </c>
      <c r="H10" t="n">
        <v>216.66</v>
      </c>
      <c r="I10" t="n">
        <v>66.48</v>
      </c>
    </row>
    <row r="11">
      <c r="A11">
        <f>HYPERLINK("https://www.tradingview.com/chart/?symbol=NSE:ELGIEQUIP","ELGIEQUIP")</f>
        <v/>
      </c>
      <c r="B11" t="n">
        <v>609.5</v>
      </c>
      <c r="C11" t="n">
        <v>6010479</v>
      </c>
      <c r="D11" t="n">
        <v>1088762</v>
      </c>
      <c r="E11" t="n">
        <v>18.11</v>
      </c>
      <c r="F11" t="n">
        <v>133446.9</v>
      </c>
      <c r="G11" t="n">
        <v>8.16</v>
      </c>
      <c r="H11" t="n">
        <v>366.34</v>
      </c>
      <c r="I11" t="n">
        <v>66.36</v>
      </c>
    </row>
    <row r="12">
      <c r="A12">
        <f>HYPERLINK("https://www.tradingview.com/chart/?symbol=NSE:MOTISONS","MOTISONS")</f>
        <v/>
      </c>
      <c r="B12" t="n">
        <v>16.75</v>
      </c>
      <c r="C12" t="n">
        <v>410441404</v>
      </c>
      <c r="D12" t="n">
        <v>38066502</v>
      </c>
      <c r="E12" t="n">
        <v>9.27</v>
      </c>
      <c r="F12" t="n">
        <v>7080291.1</v>
      </c>
      <c r="G12" t="n">
        <v>5.38</v>
      </c>
      <c r="H12" t="n">
        <v>687.49</v>
      </c>
      <c r="I12" t="n">
        <v>63.76</v>
      </c>
    </row>
    <row r="13">
      <c r="A13">
        <f>HYPERLINK("https://www.tradingview.com/chart/?symbol=NSE:GPPL","GPPL")</f>
        <v/>
      </c>
      <c r="B13" t="n">
        <v>158.68</v>
      </c>
      <c r="C13" t="n">
        <v>7349923</v>
      </c>
      <c r="D13" t="n">
        <v>3835417</v>
      </c>
      <c r="E13" t="n">
        <v>52.18</v>
      </c>
      <c r="F13" t="n">
        <v>671265.2333333333</v>
      </c>
      <c r="G13" t="n">
        <v>5.71</v>
      </c>
      <c r="H13" t="n">
        <v>116.63</v>
      </c>
      <c r="I13" t="n">
        <v>60.86</v>
      </c>
    </row>
    <row r="14">
      <c r="A14">
        <f>HYPERLINK("https://www.tradingview.com/chart/?symbol=NSE:MINDACORP","MINDACORP")</f>
        <v/>
      </c>
      <c r="B14" t="n">
        <v>720.05</v>
      </c>
      <c r="C14" t="n">
        <v>4747307</v>
      </c>
      <c r="D14" t="n">
        <v>824448</v>
      </c>
      <c r="E14" t="n">
        <v>17.37</v>
      </c>
      <c r="F14" t="n">
        <v>150593.6</v>
      </c>
      <c r="G14" t="n">
        <v>5.47</v>
      </c>
      <c r="H14" t="n">
        <v>341.83</v>
      </c>
      <c r="I14" t="n">
        <v>59.36</v>
      </c>
    </row>
    <row r="15">
      <c r="A15">
        <f>HYPERLINK("https://www.tradingview.com/chart/?symbol=NSE:GALAXYSURF","GALAXYSURF")</f>
        <v/>
      </c>
      <c r="B15" t="n">
        <v>2508.4</v>
      </c>
      <c r="C15" t="n">
        <v>632628</v>
      </c>
      <c r="D15" t="n">
        <v>212754</v>
      </c>
      <c r="E15" t="n">
        <v>33.63</v>
      </c>
      <c r="F15" t="n">
        <v>5854.433333333333</v>
      </c>
      <c r="G15" t="n">
        <v>36.34</v>
      </c>
      <c r="H15" t="n">
        <v>158.69</v>
      </c>
      <c r="I15" t="n">
        <v>53.37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2026-08-15T18:59:30Z</dcterms:created>
  <dcterms:modified xsi:type="dcterms:W3CDTF">2026-08-15T18:59:30Z</dcterms:modified>
</cp:coreProperties>
</file>