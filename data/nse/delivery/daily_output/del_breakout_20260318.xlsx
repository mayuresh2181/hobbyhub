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HYPERLINK("https://www.tradingview.com/chart/?symbol=NSE:JBMA", "JBMA")</f>
        <v/>
      </c>
      <c r="B2" t="n">
        <v>2083541</v>
      </c>
      <c r="C2" t="n">
        <v>148928.4666666667</v>
      </c>
      <c r="D2" t="n">
        <v>13.99</v>
      </c>
    </row>
    <row r="3">
      <c r="A3">
        <f>HYPERLINK("https://www.tradingview.com/chart/?symbol=NSE:ASAHIINDIA", "ASAHIINDIA")</f>
        <v/>
      </c>
      <c r="B3" t="n">
        <v>727316</v>
      </c>
      <c r="C3" t="n">
        <v>57059.16666666666</v>
      </c>
      <c r="D3" t="n">
        <v>12.75</v>
      </c>
    </row>
    <row r="4">
      <c r="A4">
        <f>HYPERLINK("https://www.tradingview.com/chart/?symbol=NSE:MMTC", "MMTC")</f>
        <v/>
      </c>
      <c r="B4" t="n">
        <v>5878870</v>
      </c>
      <c r="C4" t="n">
        <v>677718.0666666667</v>
      </c>
      <c r="D4" t="n">
        <v>8.67</v>
      </c>
    </row>
    <row r="5">
      <c r="A5">
        <f>HYPERLINK("https://www.tradingview.com/chart/?symbol=NSE:MAPMYINDIA", "MAPMYINDIA")</f>
        <v/>
      </c>
      <c r="B5" t="n">
        <v>409785</v>
      </c>
      <c r="C5" t="n">
        <v>80930</v>
      </c>
      <c r="D5" t="n">
        <v>5.06</v>
      </c>
    </row>
    <row r="6">
      <c r="A6">
        <f>HYPERLINK("https://www.tradingview.com/chart/?symbol=NSE:OLECTRA", "OLECTRA")</f>
        <v/>
      </c>
      <c r="B6" t="n">
        <v>876135</v>
      </c>
      <c r="C6" t="n">
        <v>176683.6</v>
      </c>
      <c r="D6" t="n">
        <v>4.96</v>
      </c>
    </row>
    <row r="7">
      <c r="A7">
        <f>HYPERLINK("https://www.tradingview.com/chart/?symbol=NSE:VIJAYA", "VIJAYA")</f>
        <v/>
      </c>
      <c r="B7" t="n">
        <v>290527</v>
      </c>
      <c r="C7" t="n">
        <v>60741.23333333333</v>
      </c>
      <c r="D7" t="n">
        <v>4.78</v>
      </c>
    </row>
    <row r="8">
      <c r="A8">
        <f>HYPERLINK("https://www.tradingview.com/chart/?symbol=NSE:LODHA", "LODHA")</f>
        <v/>
      </c>
      <c r="B8" t="n">
        <v>3449658</v>
      </c>
      <c r="C8" t="n">
        <v>728560.1666666666</v>
      </c>
      <c r="D8" t="n">
        <v>4.73</v>
      </c>
    </row>
    <row r="9">
      <c r="A9">
        <f>HYPERLINK("https://www.tradingview.com/chart/?symbol=NSE:SBFC", "SBFC")</f>
        <v/>
      </c>
      <c r="B9" t="n">
        <v>3257376</v>
      </c>
      <c r="C9" t="n">
        <v>736221.7333333333</v>
      </c>
      <c r="D9" t="n">
        <v>4.42</v>
      </c>
    </row>
    <row r="10">
      <c r="A10">
        <f>HYPERLINK("https://www.tradingview.com/chart/?symbol=NSE:NIVABUPA", "NIVABUPA")</f>
        <v/>
      </c>
      <c r="B10" t="n">
        <v>2316010</v>
      </c>
      <c r="C10" t="n">
        <v>622240.3666666667</v>
      </c>
      <c r="D10" t="n">
        <v>3.72</v>
      </c>
    </row>
    <row r="11">
      <c r="A11">
        <f>HYPERLINK("https://www.tradingview.com/chart/?symbol=NSE:KSB", "KSB")</f>
        <v/>
      </c>
      <c r="B11" t="n">
        <v>348460</v>
      </c>
      <c r="C11" t="n">
        <v>95046.60000000001</v>
      </c>
      <c r="D11" t="n">
        <v>3.67</v>
      </c>
    </row>
    <row r="12">
      <c r="A12">
        <f>HYPERLINK("https://www.tradingview.com/chart/?symbol=NSE:ANGELONE", "ANGELONE")</f>
        <v/>
      </c>
      <c r="B12" t="n">
        <v>5662011</v>
      </c>
      <c r="C12" t="n">
        <v>1578013.866666667</v>
      </c>
      <c r="D12" t="n">
        <v>3.59</v>
      </c>
    </row>
    <row r="13">
      <c r="A13">
        <f>HYPERLINK("https://www.tradingview.com/chart/?symbol=NSE:MGL", "MGL")</f>
        <v/>
      </c>
      <c r="B13" t="n">
        <v>679849</v>
      </c>
      <c r="C13" t="n">
        <v>189934.3</v>
      </c>
      <c r="D13" t="n">
        <v>3.58</v>
      </c>
    </row>
    <row r="14">
      <c r="A14">
        <f>HYPERLINK("https://www.tradingview.com/chart/?symbol=NSE:RAINBOW", "RAINBOW")</f>
        <v/>
      </c>
      <c r="B14" t="n">
        <v>221592</v>
      </c>
      <c r="C14" t="n">
        <v>64047.6</v>
      </c>
      <c r="D14" t="n">
        <v>3.46</v>
      </c>
    </row>
    <row r="15">
      <c r="A15">
        <f>HYPERLINK("https://www.tradingview.com/chart/?symbol=NSE:EMAMILTD", "EMAMILTD")</f>
        <v/>
      </c>
      <c r="B15" t="n">
        <v>1335748</v>
      </c>
      <c r="C15" t="n">
        <v>388197.7333333333</v>
      </c>
      <c r="D15" t="n">
        <v>3.44</v>
      </c>
    </row>
    <row r="16">
      <c r="A16">
        <f>HYPERLINK("https://www.tradingview.com/chart/?symbol=NSE:JPPOWER", "JPPOWER")</f>
        <v/>
      </c>
      <c r="B16" t="n">
        <v>43768557</v>
      </c>
      <c r="C16" t="n">
        <v>13602700.43333333</v>
      </c>
      <c r="D16" t="n">
        <v>3.22</v>
      </c>
    </row>
    <row r="17">
      <c r="A17">
        <f>HYPERLINK("https://www.tradingview.com/chart/?symbol=NSE:WAAREEENER", "WAAREEENER")</f>
        <v/>
      </c>
      <c r="B17" t="n">
        <v>1457414</v>
      </c>
      <c r="C17" t="n">
        <v>463477.5666666667</v>
      </c>
      <c r="D17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2026-03-19T20:04:40Z</dcterms:created>
  <dcterms:modified xsi:type="dcterms:W3CDTF">2026-03-19T20:04:40Z</dcterms:modified>
</cp:coreProperties>
</file>