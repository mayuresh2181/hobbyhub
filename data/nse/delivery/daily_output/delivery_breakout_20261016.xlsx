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HYPERLINK("https://www.tradingview.com/chart/?symbol=NSE:HBLENGINE","HBLENGINE")</f>
        <v/>
      </c>
      <c r="B2" t="n">
        <v>833.15</v>
      </c>
      <c r="C2" t="n">
        <v>39119356</v>
      </c>
      <c r="D2" t="n">
        <v>3685379</v>
      </c>
      <c r="E2" t="n">
        <v>9.42</v>
      </c>
      <c r="F2" t="n">
        <v>616754.6</v>
      </c>
      <c r="G2" t="n">
        <v>5.98</v>
      </c>
      <c r="H2" t="n">
        <v>3259.23</v>
      </c>
      <c r="I2" t="n">
        <v>307.05</v>
      </c>
    </row>
    <row r="3">
      <c r="A3">
        <f>HYPERLINK("https://www.tradingview.com/chart/?symbol=NSE:HDBFS","HDBFS")</f>
        <v/>
      </c>
      <c r="B3" t="n">
        <v>512.6</v>
      </c>
      <c r="C3" t="n">
        <v>6298368</v>
      </c>
      <c r="D3" t="n">
        <v>3810411</v>
      </c>
      <c r="E3" t="n">
        <v>60.5</v>
      </c>
      <c r="F3" t="n">
        <v>416015.1</v>
      </c>
      <c r="G3" t="n">
        <v>9.16</v>
      </c>
      <c r="H3" t="n">
        <v>322.85</v>
      </c>
      <c r="I3" t="n">
        <v>195.32</v>
      </c>
    </row>
    <row r="4">
      <c r="A4">
        <f>HYPERLINK("https://www.tradingview.com/chart/?symbol=NSE:CYIENTDLM","CYIENTDLM")</f>
        <v/>
      </c>
      <c r="B4" t="n">
        <v>897.25</v>
      </c>
      <c r="C4" t="n">
        <v>3827578</v>
      </c>
      <c r="D4" t="n">
        <v>1430777</v>
      </c>
      <c r="E4" t="n">
        <v>37.38</v>
      </c>
      <c r="F4" t="n">
        <v>250954.7666666667</v>
      </c>
      <c r="G4" t="n">
        <v>5.7</v>
      </c>
      <c r="H4" t="n">
        <v>343.43</v>
      </c>
      <c r="I4" t="n">
        <v>128.38</v>
      </c>
    </row>
    <row r="5">
      <c r="A5">
        <f>HYPERLINK("https://www.tradingview.com/chart/?symbol=NSE:KRN","KRN")</f>
        <v/>
      </c>
      <c r="B5" t="n">
        <v>1139.6</v>
      </c>
      <c r="C5" t="n">
        <v>1467064</v>
      </c>
      <c r="D5" t="n">
        <v>830681</v>
      </c>
      <c r="E5" t="n">
        <v>56.62</v>
      </c>
      <c r="F5" t="n">
        <v>137322.4333333333</v>
      </c>
      <c r="G5" t="n">
        <v>6.05</v>
      </c>
      <c r="H5" t="n">
        <v>167.19</v>
      </c>
      <c r="I5" t="n">
        <v>94.66</v>
      </c>
    </row>
    <row r="6">
      <c r="A6">
        <f>HYPERLINK("https://www.tradingview.com/chart/?symbol=NSE:TIPSMUSIC","TIPSMUSIC")</f>
        <v/>
      </c>
      <c r="B6" t="n">
        <v>746.9</v>
      </c>
      <c r="C6" t="n">
        <v>4468460</v>
      </c>
      <c r="D6" t="n">
        <v>904483</v>
      </c>
      <c r="E6" t="n">
        <v>20.24</v>
      </c>
      <c r="F6" t="n">
        <v>155403.6666666667</v>
      </c>
      <c r="G6" t="n">
        <v>5.82</v>
      </c>
      <c r="H6" t="n">
        <v>333.75</v>
      </c>
      <c r="I6" t="n">
        <v>67.56</v>
      </c>
    </row>
    <row r="7">
      <c r="A7">
        <f>HYPERLINK("https://www.tradingview.com/chart/?symbol=NSE:SJVN","SJVN")</f>
        <v/>
      </c>
      <c r="B7" t="n">
        <v>53.88</v>
      </c>
      <c r="C7" t="n">
        <v>19023385</v>
      </c>
      <c r="D7" t="n">
        <v>12467846</v>
      </c>
      <c r="E7" t="n">
        <v>65.54000000000001</v>
      </c>
      <c r="F7" t="n">
        <v>1308313.633333333</v>
      </c>
      <c r="G7" t="n">
        <v>9.529999999999999</v>
      </c>
      <c r="H7" t="n">
        <v>102.5</v>
      </c>
      <c r="I7" t="n">
        <v>67.18000000000001</v>
      </c>
    </row>
    <row r="8">
      <c r="A8">
        <f>HYPERLINK("https://www.tradingview.com/chart/?symbol=NSE:SONATSOFTW","SONATSOFTW")</f>
        <v/>
      </c>
      <c r="B8" t="n">
        <v>248</v>
      </c>
      <c r="C8" t="n">
        <v>5489855</v>
      </c>
      <c r="D8" t="n">
        <v>2322804</v>
      </c>
      <c r="E8" t="n">
        <v>42.31</v>
      </c>
      <c r="F8" t="n">
        <v>433852.9</v>
      </c>
      <c r="G8" t="n">
        <v>5.35</v>
      </c>
      <c r="H8" t="n">
        <v>136.15</v>
      </c>
      <c r="I8" t="n">
        <v>57.61</v>
      </c>
    </row>
    <row r="9">
      <c r="A9">
        <f>HYPERLINK("https://www.tradingview.com/chart/?symbol=NSE:CCL","CCL")</f>
        <v/>
      </c>
      <c r="B9" t="n">
        <v>1008.3</v>
      </c>
      <c r="C9" t="n">
        <v>1416942</v>
      </c>
      <c r="D9" t="n">
        <v>554027</v>
      </c>
      <c r="E9" t="n">
        <v>39.1</v>
      </c>
      <c r="F9" t="n">
        <v>80308.46666666666</v>
      </c>
      <c r="G9" t="n">
        <v>6.9</v>
      </c>
      <c r="H9" t="n">
        <v>142.87</v>
      </c>
      <c r="I9" t="n">
        <v>55.86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2026-10-18T20:59:42Z</dcterms:created>
  <dcterms:modified xsi:type="dcterms:W3CDTF">2026-10-18T20:59:42Z</dcterms:modified>
</cp:coreProperties>
</file>