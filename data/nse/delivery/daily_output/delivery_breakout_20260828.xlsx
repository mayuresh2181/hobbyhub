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HYPERLINK("https://www.tradingview.com/chart/?symbol=NSE:COALINDIA","COALINDIA")</f>
        <v/>
      </c>
      <c r="B2" t="n">
        <v>401</v>
      </c>
      <c r="C2" t="n">
        <v>38504284</v>
      </c>
      <c r="D2" t="n">
        <v>30565559</v>
      </c>
      <c r="E2" t="n">
        <v>79.38</v>
      </c>
      <c r="F2" t="n">
        <v>4374865.566666666</v>
      </c>
      <c r="G2" t="n">
        <v>6.99</v>
      </c>
      <c r="H2" t="n">
        <v>1544.02</v>
      </c>
      <c r="I2" t="n">
        <v>1225.68</v>
      </c>
    </row>
    <row r="3">
      <c r="A3">
        <f>HYPERLINK("https://www.tradingview.com/chart/?symbol=NSE:IFCI","IFCI")</f>
        <v/>
      </c>
      <c r="B3" t="n">
        <v>89.95999999999999</v>
      </c>
      <c r="C3" t="n">
        <v>139340453</v>
      </c>
      <c r="D3" t="n">
        <v>31459226</v>
      </c>
      <c r="E3" t="n">
        <v>22.58</v>
      </c>
      <c r="F3" t="n">
        <v>6045365.433333334</v>
      </c>
      <c r="G3" t="n">
        <v>5.2</v>
      </c>
      <c r="H3" t="n">
        <v>1253.51</v>
      </c>
      <c r="I3" t="n">
        <v>283.01</v>
      </c>
    </row>
    <row r="4">
      <c r="A4">
        <f>HYPERLINK("https://www.tradingview.com/chart/?symbol=NSE:CGCL","CGCL")</f>
        <v/>
      </c>
      <c r="B4" t="n">
        <v>257.98</v>
      </c>
      <c r="C4" t="n">
        <v>29680127</v>
      </c>
      <c r="D4" t="n">
        <v>10685140</v>
      </c>
      <c r="E4" t="n">
        <v>36</v>
      </c>
      <c r="F4" t="n">
        <v>1452974.366666667</v>
      </c>
      <c r="G4" t="n">
        <v>7.35</v>
      </c>
      <c r="H4" t="n">
        <v>765.6900000000001</v>
      </c>
      <c r="I4" t="n">
        <v>275.66</v>
      </c>
    </row>
    <row r="5">
      <c r="A5">
        <f>HYPERLINK("https://www.tradingview.com/chart/?symbol=NSE:TEJASNET","TEJASNET")</f>
        <v/>
      </c>
      <c r="B5" t="n">
        <v>550.15</v>
      </c>
      <c r="C5" t="n">
        <v>43164679</v>
      </c>
      <c r="D5" t="n">
        <v>3090086</v>
      </c>
      <c r="E5" t="n">
        <v>7.16</v>
      </c>
      <c r="F5" t="n">
        <v>347457.7333333333</v>
      </c>
      <c r="G5" t="n">
        <v>8.890000000000001</v>
      </c>
      <c r="H5" t="n">
        <v>2374.7</v>
      </c>
      <c r="I5" t="n">
        <v>170</v>
      </c>
    </row>
    <row r="6">
      <c r="A6">
        <f>HYPERLINK("https://www.tradingview.com/chart/?symbol=NSE:SHYAMMETL","SHYAMMETL")</f>
        <v/>
      </c>
      <c r="B6" t="n">
        <v>1099.8</v>
      </c>
      <c r="C6" t="n">
        <v>2682841</v>
      </c>
      <c r="D6" t="n">
        <v>1451894</v>
      </c>
      <c r="E6" t="n">
        <v>54.12</v>
      </c>
      <c r="F6" t="n">
        <v>207825.5666666667</v>
      </c>
      <c r="G6" t="n">
        <v>6.99</v>
      </c>
      <c r="H6" t="n">
        <v>295.06</v>
      </c>
      <c r="I6" t="n">
        <v>159.68</v>
      </c>
    </row>
    <row r="7">
      <c r="A7">
        <f>HYPERLINK("https://www.tradingview.com/chart/?symbol=NSE:FMGOETZE","FMGOETZE")</f>
        <v/>
      </c>
      <c r="B7" t="n">
        <v>602.05</v>
      </c>
      <c r="C7" t="n">
        <v>18185623</v>
      </c>
      <c r="D7" t="n">
        <v>2411782</v>
      </c>
      <c r="E7" t="n">
        <v>13.26</v>
      </c>
      <c r="F7" t="n">
        <v>102557.4333333333</v>
      </c>
      <c r="G7" t="n">
        <v>23.52</v>
      </c>
      <c r="H7" t="n">
        <v>1094.87</v>
      </c>
      <c r="I7" t="n">
        <v>145.2</v>
      </c>
    </row>
    <row r="8">
      <c r="A8">
        <f>HYPERLINK("https://www.tradingview.com/chart/?symbol=NSE:NSLNISP","NSLNISP")</f>
        <v/>
      </c>
      <c r="B8" t="n">
        <v>49.02</v>
      </c>
      <c r="C8" t="n">
        <v>57456853</v>
      </c>
      <c r="D8" t="n">
        <v>15505291</v>
      </c>
      <c r="E8" t="n">
        <v>26.99</v>
      </c>
      <c r="F8" t="n">
        <v>2447966.633333333</v>
      </c>
      <c r="G8" t="n">
        <v>6.33</v>
      </c>
      <c r="H8" t="n">
        <v>281.65</v>
      </c>
      <c r="I8" t="n">
        <v>76.01000000000001</v>
      </c>
    </row>
    <row r="9">
      <c r="A9">
        <f>HYPERLINK("https://www.tradingview.com/chart/?symbol=NSE:NORTHARC","NORTHARC")</f>
        <v/>
      </c>
      <c r="B9" t="n">
        <v>285.75</v>
      </c>
      <c r="C9" t="n">
        <v>4983190</v>
      </c>
      <c r="D9" t="n">
        <v>2651866</v>
      </c>
      <c r="E9" t="n">
        <v>53.22</v>
      </c>
      <c r="F9" t="n">
        <v>496180.5</v>
      </c>
      <c r="G9" t="n">
        <v>5.34</v>
      </c>
      <c r="H9" t="n">
        <v>142.39</v>
      </c>
      <c r="I9" t="n">
        <v>75.78</v>
      </c>
    </row>
    <row r="10">
      <c r="A10">
        <f>HYPERLINK("https://www.tradingview.com/chart/?symbol=NSE:RELIGARE","RELIGARE")</f>
        <v/>
      </c>
      <c r="B10" t="n">
        <v>233.05</v>
      </c>
      <c r="C10" t="n">
        <v>3498183</v>
      </c>
      <c r="D10" t="n">
        <v>3008453</v>
      </c>
      <c r="E10" t="n">
        <v>86</v>
      </c>
      <c r="F10" t="n">
        <v>539404.5</v>
      </c>
      <c r="G10" t="n">
        <v>5.58</v>
      </c>
      <c r="H10" t="n">
        <v>81.53</v>
      </c>
      <c r="I10" t="n">
        <v>70.11</v>
      </c>
    </row>
    <row r="11">
      <c r="A11">
        <f>HYPERLINK("https://www.tradingview.com/chart/?symbol=NSE:PRECWIRE","PRECWIRE")</f>
        <v/>
      </c>
      <c r="B11" t="n">
        <v>507.35</v>
      </c>
      <c r="C11" t="n">
        <v>8561415</v>
      </c>
      <c r="D11" t="n">
        <v>1365402</v>
      </c>
      <c r="E11" t="n">
        <v>15.95</v>
      </c>
      <c r="F11" t="n">
        <v>196165.1666666667</v>
      </c>
      <c r="G11" t="n">
        <v>6.96</v>
      </c>
      <c r="H11" t="n">
        <v>434.36</v>
      </c>
      <c r="I11" t="n">
        <v>69.27</v>
      </c>
    </row>
    <row r="12">
      <c r="A12">
        <f>HYPERLINK("https://www.tradingview.com/chart/?symbol=NSE:MASTEK","MASTEK")</f>
        <v/>
      </c>
      <c r="B12" t="n">
        <v>1901.4</v>
      </c>
      <c r="C12" t="n">
        <v>5449060</v>
      </c>
      <c r="D12" t="n">
        <v>353350</v>
      </c>
      <c r="E12" t="n">
        <v>6.48</v>
      </c>
      <c r="F12" t="n">
        <v>47091.96666666667</v>
      </c>
      <c r="G12" t="n">
        <v>7.5</v>
      </c>
      <c r="H12" t="n">
        <v>1036.08</v>
      </c>
      <c r="I12" t="n">
        <v>67.19</v>
      </c>
    </row>
    <row r="13">
      <c r="A13">
        <f>HYPERLINK("https://www.tradingview.com/chart/?symbol=NSE:JTLIND","JTLIND")</f>
        <v/>
      </c>
      <c r="B13" t="n">
        <v>89.87</v>
      </c>
      <c r="C13" t="n">
        <v>18590394</v>
      </c>
      <c r="D13" t="n">
        <v>6054630</v>
      </c>
      <c r="E13" t="n">
        <v>32.57</v>
      </c>
      <c r="F13" t="n">
        <v>1051003</v>
      </c>
      <c r="G13" t="n">
        <v>5.76</v>
      </c>
      <c r="H13" t="n">
        <v>167.07</v>
      </c>
      <c r="I13" t="n">
        <v>54.41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2026-08-29T01:54:13Z</dcterms:created>
  <dcterms:modified xsi:type="dcterms:W3CDTF">2026-08-29T01:54:13Z</dcterms:modified>
</cp:coreProperties>
</file>