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15" customWidth="1" min="3" max="3"/>
    <col width="15" customWidth="1" min="4" max="4"/>
    <col width="13" customWidth="1" min="5" max="5"/>
    <col width="20" customWidth="1" min="6" max="6"/>
    <col width="17" customWidth="1" min="7" max="7"/>
    <col width="18" customWidth="1" min="8" max="8"/>
    <col width="20" customWidth="1" min="9" max="9"/>
  </cols>
  <sheetData>
    <row r="1">
      <c r="A1" s="1" t="inlineStr">
        <is>
          <t>SYMBOL</t>
        </is>
      </c>
      <c r="B1" s="1" t="inlineStr">
        <is>
          <t>LTP</t>
        </is>
      </c>
      <c r="C1" s="1" t="inlineStr">
        <is>
          <t>TOTAL_VOLUME</t>
        </is>
      </c>
      <c r="D1" s="1" t="inlineStr">
        <is>
          <t>DELIVERY_QTY</t>
        </is>
      </c>
      <c r="E1" s="1" t="inlineStr">
        <is>
          <t>DELIVERY_%</t>
        </is>
      </c>
      <c r="F1" s="1" t="inlineStr">
        <is>
          <t>AVG_30_DELIVERY</t>
        </is>
      </c>
      <c r="G1" s="1" t="inlineStr">
        <is>
          <t>DELIVERY_RATIO</t>
        </is>
      </c>
      <c r="H1" s="1" t="inlineStr">
        <is>
          <t>TRADED_VALUE_CR</t>
        </is>
      </c>
      <c r="I1" s="1" t="inlineStr">
        <is>
          <t>DELIVERY_VALUE_CR</t>
        </is>
      </c>
    </row>
    <row r="2">
      <c r="A2">
        <f>HYPERLINK("https://www.tradingview.com/chart/?symbol=NSE:ASTRAL","ASTRAL")</f>
        <v/>
      </c>
      <c r="B2" t="n">
        <v>1592</v>
      </c>
      <c r="C2" t="n">
        <v>12371579</v>
      </c>
      <c r="D2" t="n">
        <v>1842880</v>
      </c>
      <c r="E2" t="n">
        <v>14.9</v>
      </c>
      <c r="F2" t="n">
        <v>233769.4333333333</v>
      </c>
      <c r="G2" t="n">
        <v>7.88</v>
      </c>
      <c r="H2" t="n">
        <v>1969.56</v>
      </c>
      <c r="I2" t="n">
        <v>293.39</v>
      </c>
    </row>
    <row r="3">
      <c r="A3">
        <f>HYPERLINK("https://www.tradingview.com/chart/?symbol=NSE:BDL","BDL")</f>
        <v/>
      </c>
      <c r="B3" t="n">
        <v>1375.5</v>
      </c>
      <c r="C3" t="n">
        <v>4154401</v>
      </c>
      <c r="D3" t="n">
        <v>1700294</v>
      </c>
      <c r="E3" t="n">
        <v>40.93</v>
      </c>
      <c r="F3" t="n">
        <v>288910.7666666667</v>
      </c>
      <c r="G3" t="n">
        <v>5.89</v>
      </c>
      <c r="H3" t="n">
        <v>571.4400000000001</v>
      </c>
      <c r="I3" t="n">
        <v>233.88</v>
      </c>
    </row>
    <row r="4">
      <c r="A4">
        <f>HYPERLINK("https://www.tradingview.com/chart/?symbol=NSE:GUJENERGY","GUJENERGY")</f>
        <v/>
      </c>
      <c r="B4" t="n">
        <v>284.4</v>
      </c>
      <c r="C4" t="n">
        <v>9580453</v>
      </c>
      <c r="D4" t="n">
        <v>6370389</v>
      </c>
      <c r="E4" t="n">
        <v>66.48999999999999</v>
      </c>
      <c r="F4" t="n">
        <v>644216.65</v>
      </c>
      <c r="G4" t="n">
        <v>9.890000000000001</v>
      </c>
      <c r="H4" t="n">
        <v>272.47</v>
      </c>
      <c r="I4" t="n">
        <v>181.17</v>
      </c>
    </row>
    <row r="5">
      <c r="A5">
        <f>HYPERLINK("https://www.tradingview.com/chart/?symbol=NSE:URBANCO","URBANCO")</f>
        <v/>
      </c>
      <c r="B5" t="n">
        <v>141.34</v>
      </c>
      <c r="C5" t="n">
        <v>32441709</v>
      </c>
      <c r="D5" t="n">
        <v>11736681</v>
      </c>
      <c r="E5" t="n">
        <v>36.18</v>
      </c>
      <c r="F5" t="n">
        <v>1563645.5</v>
      </c>
      <c r="G5" t="n">
        <v>7.51</v>
      </c>
      <c r="H5" t="n">
        <v>458.53</v>
      </c>
      <c r="I5" t="n">
        <v>165.89</v>
      </c>
    </row>
    <row r="6">
      <c r="A6">
        <f>HYPERLINK("https://www.tradingview.com/chart/?symbol=NSE:THYROCARE","THYROCARE")</f>
        <v/>
      </c>
      <c r="B6" t="n">
        <v>606</v>
      </c>
      <c r="C6" t="n">
        <v>6612635</v>
      </c>
      <c r="D6" t="n">
        <v>2727019</v>
      </c>
      <c r="E6" t="n">
        <v>41.24</v>
      </c>
      <c r="F6" t="n">
        <v>280741.2</v>
      </c>
      <c r="G6" t="n">
        <v>9.710000000000001</v>
      </c>
      <c r="H6" t="n">
        <v>400.73</v>
      </c>
      <c r="I6" t="n">
        <v>165.26</v>
      </c>
    </row>
    <row r="7">
      <c r="A7">
        <f>HYPERLINK("https://www.tradingview.com/chart/?symbol=NSE:KERNEX","KERNEX")</f>
        <v/>
      </c>
      <c r="B7" t="n">
        <v>2242.7</v>
      </c>
      <c r="C7" t="n">
        <v>2255988</v>
      </c>
      <c r="D7" t="n">
        <v>553934</v>
      </c>
      <c r="E7" t="n">
        <v>24.55</v>
      </c>
      <c r="F7" t="n">
        <v>98580.2</v>
      </c>
      <c r="G7" t="n">
        <v>5.62</v>
      </c>
      <c r="H7" t="n">
        <v>505.95</v>
      </c>
      <c r="I7" t="n">
        <v>124.23</v>
      </c>
    </row>
    <row r="8">
      <c r="A8">
        <f>HYPERLINK("https://www.tradingview.com/chart/?symbol=NSE:PRUDENT","PRUDENT")</f>
        <v/>
      </c>
      <c r="B8" t="n">
        <v>3325</v>
      </c>
      <c r="C8" t="n">
        <v>429351</v>
      </c>
      <c r="D8" t="n">
        <v>361992</v>
      </c>
      <c r="E8" t="n">
        <v>84.31</v>
      </c>
      <c r="F8" t="n">
        <v>16262.5</v>
      </c>
      <c r="G8" t="n">
        <v>22.26</v>
      </c>
      <c r="H8" t="n">
        <v>142.76</v>
      </c>
      <c r="I8" t="n">
        <v>120.36</v>
      </c>
    </row>
    <row r="9">
      <c r="A9">
        <f>HYPERLINK("https://www.tradingview.com/chart/?symbol=NSE:AMAGI","AMAGI")</f>
        <v/>
      </c>
      <c r="B9" t="n">
        <v>648.2</v>
      </c>
      <c r="C9" t="n">
        <v>13078909</v>
      </c>
      <c r="D9" t="n">
        <v>1426991</v>
      </c>
      <c r="E9" t="n">
        <v>10.91</v>
      </c>
      <c r="F9" t="n">
        <v>188557.2666666667</v>
      </c>
      <c r="G9" t="n">
        <v>7.57</v>
      </c>
      <c r="H9" t="n">
        <v>847.77</v>
      </c>
      <c r="I9" t="n">
        <v>92.5</v>
      </c>
    </row>
    <row r="10">
      <c r="A10">
        <f>HYPERLINK("https://www.tradingview.com/chart/?symbol=NSE:MIDHANI","MIDHANI")</f>
        <v/>
      </c>
      <c r="B10" t="n">
        <v>444.85</v>
      </c>
      <c r="C10" t="n">
        <v>16215062</v>
      </c>
      <c r="D10" t="n">
        <v>1817484</v>
      </c>
      <c r="E10" t="n">
        <v>11.21</v>
      </c>
      <c r="F10" t="n">
        <v>236169.3666666667</v>
      </c>
      <c r="G10" t="n">
        <v>7.7</v>
      </c>
      <c r="H10" t="n">
        <v>721.33</v>
      </c>
      <c r="I10" t="n">
        <v>80.84999999999999</v>
      </c>
    </row>
    <row r="11">
      <c r="A11">
        <f>HYPERLINK("https://www.tradingview.com/chart/?symbol=NSE:SARDAEN","SARDAEN")</f>
        <v/>
      </c>
      <c r="B11" t="n">
        <v>523.3</v>
      </c>
      <c r="C11" t="n">
        <v>23546092</v>
      </c>
      <c r="D11" t="n">
        <v>1220086</v>
      </c>
      <c r="E11" t="n">
        <v>5.18</v>
      </c>
      <c r="F11" t="n">
        <v>131118.6</v>
      </c>
      <c r="G11" t="n">
        <v>9.31</v>
      </c>
      <c r="H11" t="n">
        <v>1232.17</v>
      </c>
      <c r="I11" t="n">
        <v>63.85</v>
      </c>
    </row>
    <row r="12">
      <c r="A12">
        <f>HYPERLINK("https://www.tradingview.com/chart/?symbol=NSE:VADILALIND","VADILALIND")</f>
        <v/>
      </c>
      <c r="B12" t="n">
        <v>7781</v>
      </c>
      <c r="C12" t="n">
        <v>356735</v>
      </c>
      <c r="D12" t="n">
        <v>75697</v>
      </c>
      <c r="E12" t="n">
        <v>21.22</v>
      </c>
      <c r="F12" t="n">
        <v>7743.033333333334</v>
      </c>
      <c r="G12" t="n">
        <v>9.779999999999999</v>
      </c>
      <c r="H12" t="n">
        <v>277.58</v>
      </c>
      <c r="I12" t="n">
        <v>58.9</v>
      </c>
    </row>
    <row r="13">
      <c r="A13">
        <f>HYPERLINK("https://www.tradingview.com/chart/?symbol=NSE:FIEMIND","FIEMIND")</f>
        <v/>
      </c>
      <c r="B13" t="n">
        <v>2412.3</v>
      </c>
      <c r="C13" t="n">
        <v>610304</v>
      </c>
      <c r="D13" t="n">
        <v>232912</v>
      </c>
      <c r="E13" t="n">
        <v>38.16</v>
      </c>
      <c r="F13" t="n">
        <v>33317.2</v>
      </c>
      <c r="G13" t="n">
        <v>6.99</v>
      </c>
      <c r="H13" t="n">
        <v>147.22</v>
      </c>
      <c r="I13" t="n">
        <v>56.19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2026-08-13T19:39:17Z</dcterms:created>
  <dcterms:modified xsi:type="dcterms:W3CDTF">2026-08-13T19:39:17Z</dcterms:modified>
</cp:coreProperties>
</file>