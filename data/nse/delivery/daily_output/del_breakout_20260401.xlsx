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HYPERLINK("https://www.tradingview.com/chart/?symbol=NSE:HYUNDAI", "HYUNDAI")</f>
        <v/>
      </c>
      <c r="B2" t="n">
        <v>2255461</v>
      </c>
      <c r="C2" t="n">
        <v>409727.1</v>
      </c>
      <c r="D2" t="n">
        <v>5.5</v>
      </c>
    </row>
    <row r="3">
      <c r="A3">
        <f>HYPERLINK("https://www.tradingview.com/chart/?symbol=NSE:GODREJIND", "GODREJIND")</f>
        <v/>
      </c>
      <c r="B3" t="n">
        <v>264042</v>
      </c>
      <c r="C3" t="n">
        <v>48186.13333333333</v>
      </c>
      <c r="D3" t="n">
        <v>5.48</v>
      </c>
    </row>
    <row r="4">
      <c r="A4">
        <f>HYPERLINK("https://www.tradingview.com/chart/?symbol=NSE:KAJARIACER", "KAJARIACER")</f>
        <v/>
      </c>
      <c r="B4" t="n">
        <v>817850</v>
      </c>
      <c r="C4" t="n">
        <v>187867.5</v>
      </c>
      <c r="D4" t="n">
        <v>4.35</v>
      </c>
    </row>
    <row r="5">
      <c r="A5">
        <f>HYPERLINK("https://www.tradingview.com/chart/?symbol=NSE:GRSE", "GRSE")</f>
        <v/>
      </c>
      <c r="B5" t="n">
        <v>1131201</v>
      </c>
      <c r="C5" t="n">
        <v>275970.0333333333</v>
      </c>
      <c r="D5" t="n">
        <v>4.1</v>
      </c>
    </row>
    <row r="6">
      <c r="A6">
        <f>HYPERLINK("https://www.tradingview.com/chart/?symbol=NSE:ASHOKLEY", "ASHOKLEY")</f>
        <v/>
      </c>
      <c r="B6" t="n">
        <v>46948378</v>
      </c>
      <c r="C6" t="n">
        <v>12506415.03333333</v>
      </c>
      <c r="D6" t="n">
        <v>3.75</v>
      </c>
    </row>
    <row r="7">
      <c r="A7">
        <f>HYPERLINK("https://www.tradingview.com/chart/?symbol=NSE:UNITDSPR", "UNITDSPR")</f>
        <v/>
      </c>
      <c r="B7" t="n">
        <v>2562127</v>
      </c>
      <c r="C7" t="n">
        <v>696727.1333333333</v>
      </c>
      <c r="D7" t="n">
        <v>3.68</v>
      </c>
    </row>
    <row r="8">
      <c r="A8">
        <f>HYPERLINK("https://www.tradingview.com/chart/?symbol=NSE:DMART", "DMART")</f>
        <v/>
      </c>
      <c r="B8" t="n">
        <v>1262175</v>
      </c>
      <c r="C8" t="n">
        <v>351892.0666666667</v>
      </c>
      <c r="D8" t="n">
        <v>3.59</v>
      </c>
    </row>
    <row r="9">
      <c r="A9">
        <f>HYPERLINK("https://www.tradingview.com/chart/?symbol=NSE:PREMIERENE", "PREMIERENE")</f>
        <v/>
      </c>
      <c r="B9" t="n">
        <v>3116001</v>
      </c>
      <c r="C9" t="n">
        <v>889495.6333333333</v>
      </c>
      <c r="D9" t="n">
        <v>3.5</v>
      </c>
    </row>
    <row r="10">
      <c r="A10">
        <f>HYPERLINK("https://www.tradingview.com/chart/?symbol=NSE:PRESTIGE", "PRESTIGE")</f>
        <v/>
      </c>
      <c r="B10" t="n">
        <v>1406805</v>
      </c>
      <c r="C10" t="n">
        <v>447133.6</v>
      </c>
      <c r="D10" t="n">
        <v>3.15</v>
      </c>
    </row>
    <row r="11">
      <c r="A11">
        <f>HYPERLINK("https://www.tradingview.com/chart/?symbol=NSE:VOLTAS", "VOLTAS")</f>
        <v/>
      </c>
      <c r="B11" t="n">
        <v>1418084</v>
      </c>
      <c r="C11" t="n">
        <v>459850.0666666667</v>
      </c>
      <c r="D11" t="n">
        <v>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2026-04-02T19:33:14Z</dcterms:created>
  <dcterms:modified xsi:type="dcterms:W3CDTF">2026-04-02T19:33:14Z</dcterms:modified>
</cp:coreProperties>
</file>