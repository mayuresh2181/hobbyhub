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HYPERLINK("https://www.tradingview.com/chart/?symbol=NSE:NIACL", "NIACL")</f>
        <v/>
      </c>
      <c r="B2" t="n">
        <v>4843478</v>
      </c>
      <c r="C2" t="n">
        <v>434711.3</v>
      </c>
      <c r="D2" t="n">
        <v>11.14</v>
      </c>
    </row>
    <row r="3">
      <c r="A3">
        <f>HYPERLINK("https://www.tradingview.com/chart/?symbol=NSE:KIMS", "KIMS")</f>
        <v/>
      </c>
      <c r="B3" t="n">
        <v>1504509</v>
      </c>
      <c r="C3" t="n">
        <v>189229.1333333333</v>
      </c>
      <c r="D3" t="n">
        <v>7.95</v>
      </c>
    </row>
    <row r="4">
      <c r="A4">
        <f>HYPERLINK("https://www.tradingview.com/chart/?symbol=NSE:MINDACORP", "MINDACORP")</f>
        <v/>
      </c>
      <c r="B4" t="n">
        <v>1193070</v>
      </c>
      <c r="C4" t="n">
        <v>151187.8333333333</v>
      </c>
      <c r="D4" t="n">
        <v>7.89</v>
      </c>
    </row>
    <row r="5">
      <c r="A5">
        <f>HYPERLINK("https://www.tradingview.com/chart/?symbol=NSE:COHANCE", "COHANCE")</f>
        <v/>
      </c>
      <c r="B5" t="n">
        <v>2596183</v>
      </c>
      <c r="C5" t="n">
        <v>446390.7333333333</v>
      </c>
      <c r="D5" t="n">
        <v>5.82</v>
      </c>
    </row>
    <row r="6">
      <c r="A6">
        <f>HYPERLINK("https://www.tradingview.com/chart/?symbol=NSE:CONCORDBIO", "CONCORDBIO")</f>
        <v/>
      </c>
      <c r="B6" t="n">
        <v>611852</v>
      </c>
      <c r="C6" t="n">
        <v>106561.1666666667</v>
      </c>
      <c r="D6" t="n">
        <v>5.74</v>
      </c>
    </row>
    <row r="7">
      <c r="A7">
        <f>HYPERLINK("https://www.tradingview.com/chart/?symbol=NSE:ACE", "ACE")</f>
        <v/>
      </c>
      <c r="B7" t="n">
        <v>599589</v>
      </c>
      <c r="C7" t="n">
        <v>123016.7333333333</v>
      </c>
      <c r="D7" t="n">
        <v>4.87</v>
      </c>
    </row>
    <row r="8">
      <c r="A8">
        <f>HYPERLINK("https://www.tradingview.com/chart/?symbol=NSE:GICRE", "GICRE")</f>
        <v/>
      </c>
      <c r="B8" t="n">
        <v>862209</v>
      </c>
      <c r="C8" t="n">
        <v>203319.1666666667</v>
      </c>
      <c r="D8" t="n">
        <v>4.24</v>
      </c>
    </row>
    <row r="9">
      <c r="A9">
        <f>HYPERLINK("https://www.tradingview.com/chart/?symbol=NSE:POONAWALLA", "POONAWALLA")</f>
        <v/>
      </c>
      <c r="B9" t="n">
        <v>2572743</v>
      </c>
      <c r="C9" t="n">
        <v>718093.8333333334</v>
      </c>
      <c r="D9" t="n">
        <v>3.58</v>
      </c>
    </row>
    <row r="10">
      <c r="A10">
        <f>HYPERLINK("https://www.tradingview.com/chart/?symbol=NSE:IGL", "IGL")</f>
        <v/>
      </c>
      <c r="B10" t="n">
        <v>6165156</v>
      </c>
      <c r="C10" t="n">
        <v>1834391.6</v>
      </c>
      <c r="D10" t="n">
        <v>3.36</v>
      </c>
    </row>
    <row r="11">
      <c r="A11">
        <f>HYPERLINK("https://www.tradingview.com/chart/?symbol=NSE:OLAELEC", "OLAELEC")</f>
        <v/>
      </c>
      <c r="B11" t="n">
        <v>76072530</v>
      </c>
      <c r="C11" t="n">
        <v>23144685.9</v>
      </c>
      <c r="D11" t="n">
        <v>3.29</v>
      </c>
    </row>
    <row r="12">
      <c r="A12">
        <f>HYPERLINK("https://www.tradingview.com/chart/?symbol=NSE:ADANIENSOL", "ADANIENSOL")</f>
        <v/>
      </c>
      <c r="B12" t="n">
        <v>2897398</v>
      </c>
      <c r="C12" t="n">
        <v>927624.8333333334</v>
      </c>
      <c r="D12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2026-04-12T19:26:19Z</dcterms:created>
  <dcterms:modified xsi:type="dcterms:W3CDTF">2026-04-12T19:26:19Z</dcterms:modified>
</cp:coreProperties>
</file>