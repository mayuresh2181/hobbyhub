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HYPERLINK("https://www.tradingview.com/chart/?symbol=NSE:INDIACEM", "INDIACEM")</f>
        <v/>
      </c>
      <c r="B2" t="n">
        <v>1746043</v>
      </c>
      <c r="C2" t="n">
        <v>139221.2666666667</v>
      </c>
      <c r="D2" t="n">
        <v>12.54</v>
      </c>
    </row>
    <row r="3">
      <c r="A3">
        <f>HYPERLINK("https://www.tradingview.com/chart/?symbol=NSE:USHAMART", "USHAMART")</f>
        <v/>
      </c>
      <c r="B3" t="n">
        <v>2553864</v>
      </c>
      <c r="C3" t="n">
        <v>246730.9</v>
      </c>
      <c r="D3" t="n">
        <v>10.35</v>
      </c>
    </row>
    <row r="4">
      <c r="A4">
        <f>HYPERLINK("https://www.tradingview.com/chart/?symbol=NSE:M&amp;MFIN", "M&amp;MFIN")</f>
        <v/>
      </c>
      <c r="B4" t="n">
        <v>4186895</v>
      </c>
      <c r="C4" t="n">
        <v>645962.8166666667</v>
      </c>
      <c r="D4" t="n">
        <v>6.48</v>
      </c>
    </row>
    <row r="5">
      <c r="A5">
        <f>HYPERLINK("https://www.tradingview.com/chart/?symbol=NSE:COHANCE", "COHANCE")</f>
        <v/>
      </c>
      <c r="B5" t="n">
        <v>4101074</v>
      </c>
      <c r="C5" t="n">
        <v>692372.9</v>
      </c>
      <c r="D5" t="n">
        <v>5.92</v>
      </c>
    </row>
    <row r="6">
      <c r="A6">
        <f>HYPERLINK("https://www.tradingview.com/chart/?symbol=NSE:SUNPHARMA", "SUNPHARMA")</f>
        <v/>
      </c>
      <c r="B6" t="n">
        <v>13589516</v>
      </c>
      <c r="C6" t="n">
        <v>2533187.633333333</v>
      </c>
      <c r="D6" t="n">
        <v>5.36</v>
      </c>
    </row>
    <row r="7">
      <c r="A7">
        <f>HYPERLINK("https://www.tradingview.com/chart/?symbol=NSE:ABBOTINDIA", "ABBOTINDIA")</f>
        <v/>
      </c>
      <c r="B7" t="n">
        <v>39576</v>
      </c>
      <c r="C7" t="n">
        <v>7986.233333333334</v>
      </c>
      <c r="D7" t="n">
        <v>4.96</v>
      </c>
    </row>
    <row r="8">
      <c r="A8">
        <f>HYPERLINK("https://www.tradingview.com/chart/?symbol=NSE:PAYTM", "PAYTM")</f>
        <v/>
      </c>
      <c r="B8" t="n">
        <v>4713374</v>
      </c>
      <c r="C8" t="n">
        <v>1014036.466666667</v>
      </c>
      <c r="D8" t="n">
        <v>4.65</v>
      </c>
    </row>
    <row r="9">
      <c r="A9">
        <f>HYPERLINK("https://www.tradingview.com/chart/?symbol=NSE:IIFL", "IIFL")</f>
        <v/>
      </c>
      <c r="B9" t="n">
        <v>4120332</v>
      </c>
      <c r="C9" t="n">
        <v>916235.9666666667</v>
      </c>
      <c r="D9" t="n">
        <v>4.5</v>
      </c>
    </row>
    <row r="10">
      <c r="A10">
        <f>HYPERLINK("https://www.tradingview.com/chart/?symbol=NSE:RKFORGE", "RKFORGE")</f>
        <v/>
      </c>
      <c r="B10" t="n">
        <v>1150244</v>
      </c>
      <c r="C10" t="n">
        <v>289359.8666666666</v>
      </c>
      <c r="D10" t="n">
        <v>3.98</v>
      </c>
    </row>
    <row r="11">
      <c r="A11">
        <f>HYPERLINK("https://www.tradingview.com/chart/?symbol=NSE:CESC", "CESC")</f>
        <v/>
      </c>
      <c r="B11" t="n">
        <v>3648326</v>
      </c>
      <c r="C11" t="n">
        <v>1026840.766666667</v>
      </c>
      <c r="D11" t="n">
        <v>3.55</v>
      </c>
    </row>
    <row r="12">
      <c r="A12">
        <f>HYPERLINK("https://www.tradingview.com/chart/?symbol=NSE:NLCINDIA", "NLCINDIA")</f>
        <v/>
      </c>
      <c r="B12" t="n">
        <v>4600687</v>
      </c>
      <c r="C12" t="n">
        <v>1506610.033333333</v>
      </c>
      <c r="D12" t="n">
        <v>3.05</v>
      </c>
    </row>
    <row r="13">
      <c r="A13">
        <f>HYPERLINK("https://www.tradingview.com/chart/?symbol=NSE:INDUSINDBK", "INDUSINDBK")</f>
        <v/>
      </c>
      <c r="B13" t="n">
        <v>5356619</v>
      </c>
      <c r="C13" t="n">
        <v>1759929.933333333</v>
      </c>
      <c r="D13" t="n">
        <v>3.04</v>
      </c>
    </row>
    <row r="14">
      <c r="A14">
        <f>HYPERLINK("https://www.tradingview.com/chart/?symbol=NSE:VBL", "VBL")</f>
        <v/>
      </c>
      <c r="B14" t="n">
        <v>12542839</v>
      </c>
      <c r="C14" t="n">
        <v>4166763.333333333</v>
      </c>
      <c r="D14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2026-04-28T20:05:03Z</dcterms:created>
  <dcterms:modified xsi:type="dcterms:W3CDTF">2026-04-28T20:05:03Z</dcterms:modified>
</cp:coreProperties>
</file>