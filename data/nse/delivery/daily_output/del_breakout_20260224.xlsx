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HYPERLINK("https://www.tradingview.com/chart/?symbol=NSE:AEGISLOG", "AEGISLOG")</f>
        <v/>
      </c>
      <c r="B2" t="n">
        <v>1673824</v>
      </c>
      <c r="C2" t="n">
        <v>266646.8333333333</v>
      </c>
      <c r="D2" t="n">
        <v>6.28</v>
      </c>
    </row>
    <row r="3">
      <c r="A3">
        <f>HYPERLINK("https://www.tradingview.com/chart/?symbol=NSE:J&amp;KBANK", "J&amp;KBANK")</f>
        <v/>
      </c>
      <c r="B3" t="n">
        <v>7372598</v>
      </c>
      <c r="C3" t="n">
        <v>1547835.8</v>
      </c>
      <c r="D3" t="n">
        <v>4.76</v>
      </c>
    </row>
    <row r="4">
      <c r="A4">
        <f>HYPERLINK("https://www.tradingview.com/chart/?symbol=NSE:LTTS", "LTTS")</f>
        <v/>
      </c>
      <c r="B4" t="n">
        <v>230390</v>
      </c>
      <c r="C4" t="n">
        <v>51675.23333333333</v>
      </c>
      <c r="D4" t="n">
        <v>4.46</v>
      </c>
    </row>
    <row r="5">
      <c r="A5">
        <f>HYPERLINK("https://www.tradingview.com/chart/?symbol=NSE:M&amp;MFIN", "M&amp;MFIN")</f>
        <v/>
      </c>
      <c r="B5" t="n">
        <v>2128005</v>
      </c>
      <c r="C5" t="n">
        <v>493348.4528301887</v>
      </c>
      <c r="D5" t="n">
        <v>4.31</v>
      </c>
    </row>
    <row r="6">
      <c r="A6">
        <f>HYPERLINK("https://www.tradingview.com/chart/?symbol=NSE:IDFCFIRSTB", "IDFCFIRSTB")</f>
        <v/>
      </c>
      <c r="B6" t="n">
        <v>91053666</v>
      </c>
      <c r="C6" t="n">
        <v>21733090.5</v>
      </c>
      <c r="D6" t="n">
        <v>4.19</v>
      </c>
    </row>
    <row r="7">
      <c r="A7">
        <f>HYPERLINK("https://www.tradingview.com/chart/?symbol=NSE:NATCOPHARM", "NATCOPHARM")</f>
        <v/>
      </c>
      <c r="B7" t="n">
        <v>1247473</v>
      </c>
      <c r="C7" t="n">
        <v>321361.1666666667</v>
      </c>
      <c r="D7" t="n">
        <v>3.88</v>
      </c>
    </row>
    <row r="8">
      <c r="A8">
        <f>HYPERLINK("https://www.tradingview.com/chart/?symbol=NSE:ATUL", "ATUL")</f>
        <v/>
      </c>
      <c r="B8" t="n">
        <v>54107</v>
      </c>
      <c r="C8" t="n">
        <v>14267.36666666667</v>
      </c>
      <c r="D8" t="n">
        <v>3.79</v>
      </c>
    </row>
    <row r="9">
      <c r="A9">
        <f>HYPERLINK("https://www.tradingview.com/chart/?symbol=NSE:SCHAEFFLER", "SCHAEFFLER")</f>
        <v/>
      </c>
      <c r="B9" t="n">
        <v>124296</v>
      </c>
      <c r="C9" t="n">
        <v>33273.13333333333</v>
      </c>
      <c r="D9" t="n">
        <v>3.74</v>
      </c>
    </row>
    <row r="10">
      <c r="A10">
        <f>HYPERLINK("https://www.tradingview.com/chart/?symbol=NSE:RRKABEL", "RRKABEL")</f>
        <v/>
      </c>
      <c r="B10" t="n">
        <v>292143</v>
      </c>
      <c r="C10" t="n">
        <v>79006.43333333333</v>
      </c>
      <c r="D10" t="n">
        <v>3.7</v>
      </c>
    </row>
    <row r="11">
      <c r="A11">
        <f>HYPERLINK("https://www.tradingview.com/chart/?symbol=NSE:CENTRALBK", "CENTRALBK")</f>
        <v/>
      </c>
      <c r="B11" t="n">
        <v>10981451</v>
      </c>
      <c r="C11" t="n">
        <v>3270915.666666667</v>
      </c>
      <c r="D11" t="n">
        <v>3.36</v>
      </c>
    </row>
    <row r="12">
      <c r="A12">
        <f>HYPERLINK("https://www.tradingview.com/chart/?symbol=NSE:KPITTECH", "KPITTECH")</f>
        <v/>
      </c>
      <c r="B12" t="n">
        <v>1734713</v>
      </c>
      <c r="C12" t="n">
        <v>528052.9666666667</v>
      </c>
      <c r="D12" t="n">
        <v>3.29</v>
      </c>
    </row>
    <row r="13">
      <c r="A13">
        <f>HYPERLINK("https://www.tradingview.com/chart/?symbol=NSE:COFORGE", "COFORGE")</f>
        <v/>
      </c>
      <c r="B13" t="n">
        <v>5542603</v>
      </c>
      <c r="C13" t="n">
        <v>1714091.333333333</v>
      </c>
      <c r="D13" t="n">
        <v>3.23</v>
      </c>
    </row>
    <row r="14">
      <c r="A14">
        <f>HYPERLINK("https://www.tradingview.com/chart/?symbol=NSE:IRCTC", "IRCTC")</f>
        <v/>
      </c>
      <c r="B14" t="n">
        <v>2545177</v>
      </c>
      <c r="C14" t="n">
        <v>811410.7666666667</v>
      </c>
      <c r="D14" t="n">
        <v>3.14</v>
      </c>
    </row>
    <row r="15">
      <c r="A15">
        <f>HYPERLINK("https://www.tradingview.com/chart/?symbol=NSE:HCLTECH", "HCLTECH")</f>
        <v/>
      </c>
      <c r="B15" t="n">
        <v>5583981</v>
      </c>
      <c r="C15" t="n">
        <v>1849208.533333333</v>
      </c>
      <c r="D15" t="n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2026-02-25T03:22:19Z</dcterms:created>
  <dcterms:modified xsi:type="dcterms:W3CDTF">2026-02-25T03:22:19Z</dcterms:modified>
</cp:coreProperties>
</file>