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HYPERLINK("https://www.tradingview.com/chart/?symbol=NSE:PFIZER","PFIZER")</f>
        <v/>
      </c>
      <c r="B2" t="n">
        <v>4095.4</v>
      </c>
      <c r="C2" t="n">
        <v>267140</v>
      </c>
      <c r="D2" t="n">
        <v>212208</v>
      </c>
      <c r="E2" t="n">
        <v>79.44</v>
      </c>
      <c r="F2" t="n">
        <v>32666.86666666666</v>
      </c>
      <c r="G2" t="n">
        <v>6.5</v>
      </c>
      <c r="H2" t="n">
        <v>109.4</v>
      </c>
      <c r="I2" t="n">
        <v>86.91</v>
      </c>
    </row>
    <row r="3">
      <c r="A3">
        <f>HYPERLINK("https://www.tradingview.com/chart/?symbol=NSE:NOVARTIND","NOVARTIND")</f>
        <v/>
      </c>
      <c r="B3" t="n">
        <v>2428.2</v>
      </c>
      <c r="C3" t="n">
        <v>2292871</v>
      </c>
      <c r="D3" t="n">
        <v>347125</v>
      </c>
      <c r="E3" t="n">
        <v>15.14</v>
      </c>
      <c r="F3" t="n">
        <v>16959.26666666667</v>
      </c>
      <c r="G3" t="n">
        <v>20.47</v>
      </c>
      <c r="H3" t="n">
        <v>556.75</v>
      </c>
      <c r="I3" t="n">
        <v>84.29000000000001</v>
      </c>
    </row>
    <row r="4">
      <c r="A4">
        <f>HYPERLINK("https://www.tradingview.com/chart/?symbol=NSE:SWANCORP","SWANCORP")</f>
        <v/>
      </c>
      <c r="B4" t="n">
        <v>298.15</v>
      </c>
      <c r="C4" t="n">
        <v>53152302</v>
      </c>
      <c r="D4" t="n">
        <v>2818234</v>
      </c>
      <c r="E4" t="n">
        <v>5.3</v>
      </c>
      <c r="F4" t="n">
        <v>335305.4666666667</v>
      </c>
      <c r="G4" t="n">
        <v>8.4</v>
      </c>
      <c r="H4" t="n">
        <v>1584.74</v>
      </c>
      <c r="I4" t="n">
        <v>84.03</v>
      </c>
    </row>
    <row r="5">
      <c r="A5">
        <f>HYPERLINK("https://www.tradingview.com/chart/?symbol=NSE:AFCONS","AFCONS")</f>
        <v/>
      </c>
      <c r="B5" t="n">
        <v>260.85</v>
      </c>
      <c r="C5" t="n">
        <v>3868242</v>
      </c>
      <c r="D5" t="n">
        <v>2818800</v>
      </c>
      <c r="E5" t="n">
        <v>72.87</v>
      </c>
      <c r="F5" t="n">
        <v>408577.2333333333</v>
      </c>
      <c r="G5" t="n">
        <v>6.9</v>
      </c>
      <c r="H5" t="n">
        <v>100.9</v>
      </c>
      <c r="I5" t="n">
        <v>73.53</v>
      </c>
    </row>
    <row r="6">
      <c r="A6">
        <f>HYPERLINK("https://www.tradingview.com/chart/?symbol=NSE:SHAREINDIA","SHAREINDIA")</f>
        <v/>
      </c>
      <c r="B6" t="n">
        <v>196.32</v>
      </c>
      <c r="C6" t="n">
        <v>58611177</v>
      </c>
      <c r="D6" t="n">
        <v>3179079</v>
      </c>
      <c r="E6" t="n">
        <v>5.42</v>
      </c>
      <c r="F6" t="n">
        <v>229701.2</v>
      </c>
      <c r="G6" t="n">
        <v>13.84</v>
      </c>
      <c r="H6" t="n">
        <v>1150.65</v>
      </c>
      <c r="I6" t="n">
        <v>62.41</v>
      </c>
    </row>
    <row r="7">
      <c r="A7">
        <f>HYPERLINK("https://www.tradingview.com/chart/?symbol=NSE:SHAKTIPUMP","SHAKTIPUMP")</f>
        <v/>
      </c>
      <c r="B7" t="n">
        <v>503.2</v>
      </c>
      <c r="C7" t="n">
        <v>13943643</v>
      </c>
      <c r="D7" t="n">
        <v>1100894</v>
      </c>
      <c r="E7" t="n">
        <v>7.9</v>
      </c>
      <c r="F7" t="n">
        <v>153105.7666666667</v>
      </c>
      <c r="G7" t="n">
        <v>7.19</v>
      </c>
      <c r="H7" t="n">
        <v>701.64</v>
      </c>
      <c r="I7" t="n">
        <v>55.4</v>
      </c>
    </row>
    <row r="8">
      <c r="A8">
        <f>HYPERLINK("https://www.tradingview.com/chart/?symbol=NSE:NOCIL","NOCIL")</f>
        <v/>
      </c>
      <c r="B8" t="n">
        <v>195.31</v>
      </c>
      <c r="C8" t="n">
        <v>7274037</v>
      </c>
      <c r="D8" t="n">
        <v>2715711</v>
      </c>
      <c r="E8" t="n">
        <v>37.33</v>
      </c>
      <c r="F8" t="n">
        <v>381245.8</v>
      </c>
      <c r="G8" t="n">
        <v>7.12</v>
      </c>
      <c r="H8" t="n">
        <v>142.07</v>
      </c>
      <c r="I8" t="n">
        <v>53.04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2026-09-10T21:09:09Z</dcterms:created>
  <dcterms:modified xsi:type="dcterms:W3CDTF">2026-09-10T21:09:09Z</dcterms:modified>
</cp:coreProperties>
</file>