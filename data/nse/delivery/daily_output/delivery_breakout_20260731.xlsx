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HYPERLINK("https://www.tradingview.com/chart/?symbol=NSE:THERMAX","THERMAX")</f>
        <v/>
      </c>
      <c r="B2" t="n">
        <v>4306</v>
      </c>
      <c r="C2" t="n">
        <v>3745682</v>
      </c>
      <c r="D2" t="n">
        <v>969506</v>
      </c>
      <c r="E2" t="n">
        <v>25.88</v>
      </c>
      <c r="F2" t="n">
        <v>114244.7</v>
      </c>
      <c r="G2" t="n">
        <v>8.49</v>
      </c>
      <c r="H2" t="n">
        <v>1612.89</v>
      </c>
      <c r="I2" t="n">
        <v>417.47</v>
      </c>
    </row>
    <row r="3">
      <c r="A3">
        <f>HYPERLINK("https://www.tradingview.com/chart/?symbol=NSE:MANKIND","MANKIND")</f>
        <v/>
      </c>
      <c r="B3" t="n">
        <v>2469.6</v>
      </c>
      <c r="C3" t="n">
        <v>2362283</v>
      </c>
      <c r="D3" t="n">
        <v>1095034</v>
      </c>
      <c r="E3" t="n">
        <v>46.35</v>
      </c>
      <c r="F3" t="n">
        <v>213670.5333333333</v>
      </c>
      <c r="G3" t="n">
        <v>5.12</v>
      </c>
      <c r="H3" t="n">
        <v>583.39</v>
      </c>
      <c r="I3" t="n">
        <v>270.43</v>
      </c>
    </row>
    <row r="4">
      <c r="A4">
        <f>HYPERLINK("https://www.tradingview.com/chart/?symbol=NSE:BALKRISIND","BALKRISIND")</f>
        <v/>
      </c>
      <c r="B4" t="n">
        <v>2473.5</v>
      </c>
      <c r="C4" t="n">
        <v>3395027</v>
      </c>
      <c r="D4" t="n">
        <v>890344</v>
      </c>
      <c r="E4" t="n">
        <v>26.22</v>
      </c>
      <c r="F4" t="n">
        <v>115798.2</v>
      </c>
      <c r="G4" t="n">
        <v>7.69</v>
      </c>
      <c r="H4" t="n">
        <v>839.76</v>
      </c>
      <c r="I4" t="n">
        <v>220.23</v>
      </c>
    </row>
    <row r="5">
      <c r="A5">
        <f>HYPERLINK("https://www.tradingview.com/chart/?symbol=NSE:NAZARA","NAZARA")</f>
        <v/>
      </c>
      <c r="B5" t="n">
        <v>339</v>
      </c>
      <c r="C5" t="n">
        <v>19464356</v>
      </c>
      <c r="D5" t="n">
        <v>5659163</v>
      </c>
      <c r="E5" t="n">
        <v>29.07</v>
      </c>
      <c r="F5" t="n">
        <v>1009561.233333333</v>
      </c>
      <c r="G5" t="n">
        <v>5.61</v>
      </c>
      <c r="H5" t="n">
        <v>659.84</v>
      </c>
      <c r="I5" t="n">
        <v>191.85</v>
      </c>
    </row>
    <row r="6">
      <c r="A6">
        <f>HYPERLINK("https://www.tradingview.com/chart/?symbol=NSE:VOLTAMP","VOLTAMP")</f>
        <v/>
      </c>
      <c r="B6" t="n">
        <v>9923</v>
      </c>
      <c r="C6" t="n">
        <v>655543</v>
      </c>
      <c r="D6" t="n">
        <v>150828</v>
      </c>
      <c r="E6" t="n">
        <v>23.01</v>
      </c>
      <c r="F6" t="n">
        <v>17595.8</v>
      </c>
      <c r="G6" t="n">
        <v>8.57</v>
      </c>
      <c r="H6" t="n">
        <v>650.5</v>
      </c>
      <c r="I6" t="n">
        <v>149.67</v>
      </c>
    </row>
    <row r="7">
      <c r="A7">
        <f>HYPERLINK("https://www.tradingview.com/chart/?symbol=NSE:PCBL","PCBL")</f>
        <v/>
      </c>
      <c r="B7" t="n">
        <v>317.9</v>
      </c>
      <c r="C7" t="n">
        <v>9190575</v>
      </c>
      <c r="D7" t="n">
        <v>3938493</v>
      </c>
      <c r="E7" t="n">
        <v>42.85</v>
      </c>
      <c r="F7" t="n">
        <v>713468.6333333333</v>
      </c>
      <c r="G7" t="n">
        <v>5.52</v>
      </c>
      <c r="H7" t="n">
        <v>292.17</v>
      </c>
      <c r="I7" t="n">
        <v>125.2</v>
      </c>
    </row>
    <row r="8">
      <c r="A8">
        <f>HYPERLINK("https://www.tradingview.com/chart/?symbol=NSE:63MOONS","63MOONS")</f>
        <v/>
      </c>
      <c r="B8" t="n">
        <v>931.4</v>
      </c>
      <c r="C8" t="n">
        <v>13988219</v>
      </c>
      <c r="D8" t="n">
        <v>1140688</v>
      </c>
      <c r="E8" t="n">
        <v>8.15</v>
      </c>
      <c r="F8" t="n">
        <v>138690.9666666667</v>
      </c>
      <c r="G8" t="n">
        <v>8.220000000000001</v>
      </c>
      <c r="H8" t="n">
        <v>1302.86</v>
      </c>
      <c r="I8" t="n">
        <v>106.24</v>
      </c>
    </row>
    <row r="9">
      <c r="A9">
        <f>HYPERLINK("https://www.tradingview.com/chart/?symbol=NSE:ASTRAZEN","ASTRAZEN")</f>
        <v/>
      </c>
      <c r="B9" t="n">
        <v>8100</v>
      </c>
      <c r="C9" t="n">
        <v>136143</v>
      </c>
      <c r="D9" t="n">
        <v>131049</v>
      </c>
      <c r="E9" t="n">
        <v>96.26000000000001</v>
      </c>
      <c r="F9" t="n">
        <v>3924.566666666667</v>
      </c>
      <c r="G9" t="n">
        <v>33.39</v>
      </c>
      <c r="H9" t="n">
        <v>110.28</v>
      </c>
      <c r="I9" t="n">
        <v>106.15</v>
      </c>
    </row>
    <row r="10">
      <c r="A10">
        <f>HYPERLINK("https://www.tradingview.com/chart/?symbol=NSE:AARTIIND","AARTIIND")</f>
        <v/>
      </c>
      <c r="B10" t="n">
        <v>489.1</v>
      </c>
      <c r="C10" t="n">
        <v>11292862</v>
      </c>
      <c r="D10" t="n">
        <v>1717375</v>
      </c>
      <c r="E10" t="n">
        <v>15.21</v>
      </c>
      <c r="F10" t="n">
        <v>317974.6666666667</v>
      </c>
      <c r="G10" t="n">
        <v>5.4</v>
      </c>
      <c r="H10" t="n">
        <v>552.33</v>
      </c>
      <c r="I10" t="n">
        <v>84</v>
      </c>
    </row>
    <row r="11">
      <c r="A11">
        <f>HYPERLINK("https://www.tradingview.com/chart/?symbol=NSE:VGUARD","VGUARD")</f>
        <v/>
      </c>
      <c r="B11" t="n">
        <v>314.5</v>
      </c>
      <c r="C11" t="n">
        <v>5010102</v>
      </c>
      <c r="D11" t="n">
        <v>1813756</v>
      </c>
      <c r="E11" t="n">
        <v>36.2</v>
      </c>
      <c r="F11" t="n">
        <v>272878.4333333333</v>
      </c>
      <c r="G11" t="n">
        <v>6.65</v>
      </c>
      <c r="H11" t="n">
        <v>157.57</v>
      </c>
      <c r="I11" t="n">
        <v>57.04</v>
      </c>
    </row>
    <row r="12">
      <c r="A12">
        <f>HYPERLINK("https://www.tradingview.com/chart/?symbol=NSE:QUESS","QUESS")</f>
        <v/>
      </c>
      <c r="B12" t="n">
        <v>332.55</v>
      </c>
      <c r="C12" t="n">
        <v>17361457</v>
      </c>
      <c r="D12" t="n">
        <v>1708440</v>
      </c>
      <c r="E12" t="n">
        <v>9.84</v>
      </c>
      <c r="F12" t="n">
        <v>205107.6333333333</v>
      </c>
      <c r="G12" t="n">
        <v>8.33</v>
      </c>
      <c r="H12" t="n">
        <v>577.36</v>
      </c>
      <c r="I12" t="n">
        <v>56.81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2026-08-02T19:48:00Z</dcterms:created>
  <dcterms:modified xsi:type="dcterms:W3CDTF">2026-08-02T19:48:00Z</dcterms:modified>
</cp:coreProperties>
</file>