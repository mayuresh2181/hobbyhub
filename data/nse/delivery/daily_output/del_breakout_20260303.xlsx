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RATIO</t>
        </is>
      </c>
    </row>
    <row r="2">
      <c r="A2">
        <f>HYPERLINK("https://www.tradingview.com/chart/?symbol=NSE:TEJASNET", "TEJASNET")</f>
        <v/>
      </c>
      <c r="B2" t="n">
        <v>7599008</v>
      </c>
      <c r="C2" t="n">
        <v>1260671.1</v>
      </c>
      <c r="D2" t="n">
        <v>6.03</v>
      </c>
    </row>
    <row r="3">
      <c r="A3">
        <f>HYPERLINK("https://www.tradingview.com/chart/?symbol=NSE:CHALET", "CHALET")</f>
        <v/>
      </c>
      <c r="B3" t="n">
        <v>385894</v>
      </c>
      <c r="C3" t="n">
        <v>73715.73333333334</v>
      </c>
      <c r="D3" t="n">
        <v>5.23</v>
      </c>
    </row>
    <row r="4">
      <c r="A4">
        <f>HYPERLINK("https://www.tradingview.com/chart/?symbol=NSE:ABLBL", "ABLBL")</f>
        <v/>
      </c>
      <c r="B4" t="n">
        <v>6378940</v>
      </c>
      <c r="C4" t="n">
        <v>1301622.366666667</v>
      </c>
      <c r="D4" t="n">
        <v>4.9</v>
      </c>
    </row>
    <row r="5">
      <c r="A5">
        <f>HYPERLINK("https://www.tradingview.com/chart/?symbol=NSE:ANGELONE", "ANGELONE")</f>
        <v/>
      </c>
      <c r="B5" t="n">
        <v>2401724</v>
      </c>
      <c r="C5" t="n">
        <v>548441.1666666666</v>
      </c>
      <c r="D5" t="n">
        <v>4.38</v>
      </c>
    </row>
    <row r="6">
      <c r="A6">
        <f>HYPERLINK("https://www.tradingview.com/chart/?symbol=NSE:KEI", "KEI")</f>
        <v/>
      </c>
      <c r="B6" t="n">
        <v>663980</v>
      </c>
      <c r="C6" t="n">
        <v>190045.0333333333</v>
      </c>
      <c r="D6" t="n">
        <v>3.49</v>
      </c>
    </row>
    <row r="7">
      <c r="A7">
        <f>HYPERLINK("https://www.tradingview.com/chart/?symbol=NSE:TIINDIA", "TIINDIA")</f>
        <v/>
      </c>
      <c r="B7" t="n">
        <v>1409168</v>
      </c>
      <c r="C7" t="n">
        <v>440020.3666666666</v>
      </c>
      <c r="D7" t="n">
        <v>3.2</v>
      </c>
    </row>
    <row r="8">
      <c r="A8">
        <f>HYPERLINK("https://www.tradingview.com/chart/?symbol=NSE:FINCABLES", "FINCABLES")</f>
        <v/>
      </c>
      <c r="B8" t="n">
        <v>645266</v>
      </c>
      <c r="C8" t="n">
        <v>202627.4666666667</v>
      </c>
      <c r="D8" t="n">
        <v>3.18</v>
      </c>
    </row>
    <row r="9">
      <c r="A9">
        <f>HYPERLINK("https://www.tradingview.com/chart/?symbol=NSE:PTCIL", "PTCIL")</f>
        <v/>
      </c>
      <c r="B9" t="n">
        <v>19249</v>
      </c>
      <c r="C9" t="n">
        <v>6254.866666666667</v>
      </c>
      <c r="D9" t="n">
        <v>3.08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2026-03-04T20:02:06Z</dcterms:created>
  <dcterms:modified xsi:type="dcterms:W3CDTF">2026-03-04T20:02:06Z</dcterms:modified>
</cp:coreProperties>
</file>