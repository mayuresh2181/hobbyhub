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RATIO</t>
        </is>
      </c>
    </row>
    <row r="2">
      <c r="A2">
        <f>HYPERLINK("https://www.tradingview.com/chart/?symbol=NSE:SPLPETRO", "SPLPETRO")</f>
        <v/>
      </c>
      <c r="B2" t="n">
        <v>429968</v>
      </c>
      <c r="C2" t="n">
        <v>48019.8</v>
      </c>
      <c r="D2" t="n">
        <v>8.949999999999999</v>
      </c>
    </row>
    <row r="3">
      <c r="A3">
        <f>HYPERLINK("https://www.tradingview.com/chart/?symbol=NSE:ICICIGI", "ICICIGI")</f>
        <v/>
      </c>
      <c r="B3" t="n">
        <v>4168742</v>
      </c>
      <c r="C3" t="n">
        <v>484555.8333333333</v>
      </c>
      <c r="D3" t="n">
        <v>8.6</v>
      </c>
    </row>
    <row r="4">
      <c r="A4">
        <f>HYPERLINK("https://www.tradingview.com/chart/?symbol=NSE:AIIL", "AIIL")</f>
        <v/>
      </c>
      <c r="B4" t="n">
        <v>2163151</v>
      </c>
      <c r="C4" t="n">
        <v>258933.8333333333</v>
      </c>
      <c r="D4" t="n">
        <v>8.35</v>
      </c>
    </row>
    <row r="5">
      <c r="A5">
        <f>HYPERLINK("https://www.tradingview.com/chart/?symbol=NSE:HAVELLS", "HAVELLS")</f>
        <v/>
      </c>
      <c r="B5" t="n">
        <v>4460462</v>
      </c>
      <c r="C5" t="n">
        <v>566805.7666666667</v>
      </c>
      <c r="D5" t="n">
        <v>7.87</v>
      </c>
    </row>
    <row r="6">
      <c r="A6">
        <f>HYPERLINK("https://www.tradingview.com/chart/?symbol=NSE:TATACAP", "TATACAP")</f>
        <v/>
      </c>
      <c r="B6" t="n">
        <v>8143260</v>
      </c>
      <c r="C6" t="n">
        <v>1230717.466666667</v>
      </c>
      <c r="D6" t="n">
        <v>6.62</v>
      </c>
    </row>
    <row r="7">
      <c r="A7">
        <f>HYPERLINK("https://www.tradingview.com/chart/?symbol=NSE:BRIGADE", "BRIGADE")</f>
        <v/>
      </c>
      <c r="B7" t="n">
        <v>1488552</v>
      </c>
      <c r="C7" t="n">
        <v>225298.1666666667</v>
      </c>
      <c r="D7" t="n">
        <v>6.61</v>
      </c>
    </row>
    <row r="8">
      <c r="A8">
        <f>HYPERLINK("https://www.tradingview.com/chart/?symbol=NSE:BAJAJHFL", "BAJAJHFL")</f>
        <v/>
      </c>
      <c r="B8" t="n">
        <v>26655275</v>
      </c>
      <c r="C8" t="n">
        <v>4055110.233333333</v>
      </c>
      <c r="D8" t="n">
        <v>6.57</v>
      </c>
    </row>
    <row r="9">
      <c r="A9">
        <f>HYPERLINK("https://www.tradingview.com/chart/?symbol=NSE:JSWENERGY", "JSWENERGY")</f>
        <v/>
      </c>
      <c r="B9" t="n">
        <v>10933223</v>
      </c>
      <c r="C9" t="n">
        <v>1682444</v>
      </c>
      <c r="D9" t="n">
        <v>6.5</v>
      </c>
    </row>
    <row r="10">
      <c r="A10">
        <f>HYPERLINK("https://www.tradingview.com/chart/?symbol=NSE:HEG", "HEG")</f>
        <v/>
      </c>
      <c r="B10" t="n">
        <v>3592084</v>
      </c>
      <c r="C10" t="n">
        <v>563180.9666666667</v>
      </c>
      <c r="D10" t="n">
        <v>6.38</v>
      </c>
    </row>
    <row r="11">
      <c r="A11">
        <f>HYPERLINK("https://www.tradingview.com/chart/?symbol=NSE:DEEPAKNTR", "DEEPAKNTR")</f>
        <v/>
      </c>
      <c r="B11" t="n">
        <v>548966</v>
      </c>
      <c r="C11" t="n">
        <v>86566.76666666666</v>
      </c>
      <c r="D11" t="n">
        <v>6.34</v>
      </c>
    </row>
    <row r="12">
      <c r="A12">
        <f>HYPERLINK("https://www.tradingview.com/chart/?symbol=NSE:SONACOMS", "SONACOMS")</f>
        <v/>
      </c>
      <c r="B12" t="n">
        <v>5702672</v>
      </c>
      <c r="C12" t="n">
        <v>903363.8</v>
      </c>
      <c r="D12" t="n">
        <v>6.31</v>
      </c>
    </row>
    <row r="13">
      <c r="A13">
        <f>HYPERLINK("https://www.tradingview.com/chart/?symbol=NSE:LICI", "LICI")</f>
        <v/>
      </c>
      <c r="B13" t="n">
        <v>3798464</v>
      </c>
      <c r="C13" t="n">
        <v>603607.9</v>
      </c>
      <c r="D13" t="n">
        <v>6.29</v>
      </c>
    </row>
    <row r="14">
      <c r="A14">
        <f>HYPERLINK("https://www.tradingview.com/chart/?symbol=NSE:UNIONBANK", "UNIONBANK")</f>
        <v/>
      </c>
      <c r="B14" t="n">
        <v>55638692</v>
      </c>
      <c r="C14" t="n">
        <v>8858186.066666666</v>
      </c>
      <c r="D14" t="n">
        <v>6.28</v>
      </c>
    </row>
    <row r="15">
      <c r="A15">
        <f>HYPERLINK("https://www.tradingview.com/chart/?symbol=NSE:ACMESOLAR", "ACMESOLAR")</f>
        <v/>
      </c>
      <c r="B15" t="n">
        <v>2671352</v>
      </c>
      <c r="C15" t="n">
        <v>430793.8666666666</v>
      </c>
      <c r="D15" t="n">
        <v>6.2</v>
      </c>
    </row>
    <row r="16">
      <c r="A16">
        <f>HYPERLINK("https://www.tradingview.com/chart/?symbol=NSE:HDFCAMC", "HDFCAMC")</f>
        <v/>
      </c>
      <c r="B16" t="n">
        <v>4080550</v>
      </c>
      <c r="C16" t="n">
        <v>663864.7666666667</v>
      </c>
      <c r="D16" t="n">
        <v>6.15</v>
      </c>
    </row>
    <row r="17">
      <c r="A17">
        <f>HYPERLINK("https://www.tradingview.com/chart/?symbol=NSE:TMCV", "TMCV")</f>
        <v/>
      </c>
      <c r="B17" t="n">
        <v>40645652</v>
      </c>
      <c r="C17" t="n">
        <v>6678625.6</v>
      </c>
      <c r="D17" t="n">
        <v>6.09</v>
      </c>
    </row>
    <row r="18">
      <c r="A18">
        <f>HYPERLINK("https://www.tradingview.com/chart/?symbol=NSE:CUMMINSIND", "CUMMINSIND")</f>
        <v/>
      </c>
      <c r="B18" t="n">
        <v>3178026</v>
      </c>
      <c r="C18" t="n">
        <v>527126.1</v>
      </c>
      <c r="D18" t="n">
        <v>6.03</v>
      </c>
    </row>
    <row r="19">
      <c r="A19">
        <f>HYPERLINK("https://www.tradingview.com/chart/?symbol=NSE:DEVYANI", "DEVYANI")</f>
        <v/>
      </c>
      <c r="B19" t="n">
        <v>8123612</v>
      </c>
      <c r="C19" t="n">
        <v>1356486.966666667</v>
      </c>
      <c r="D19" t="n">
        <v>5.99</v>
      </c>
    </row>
    <row r="20">
      <c r="A20">
        <f>HYPERLINK("https://www.tradingview.com/chart/?symbol=NSE:NAUKRI", "NAUKRI")</f>
        <v/>
      </c>
      <c r="B20" t="n">
        <v>7784477</v>
      </c>
      <c r="C20" t="n">
        <v>1326009.266666667</v>
      </c>
      <c r="D20" t="n">
        <v>5.87</v>
      </c>
    </row>
    <row r="21">
      <c r="A21">
        <f>HYPERLINK("https://www.tradingview.com/chart/?symbol=NSE:GALLANTT", "GALLANTT")</f>
        <v/>
      </c>
      <c r="B21" t="n">
        <v>246655</v>
      </c>
      <c r="C21" t="n">
        <v>45598.86666666667</v>
      </c>
      <c r="D21" t="n">
        <v>5.41</v>
      </c>
    </row>
    <row r="22">
      <c r="A22">
        <f>HYPERLINK("https://www.tradingview.com/chart/?symbol=NSE:LAURUSLABS", "LAURUSLABS")</f>
        <v/>
      </c>
      <c r="B22" t="n">
        <v>4397175</v>
      </c>
      <c r="C22" t="n">
        <v>833004.5</v>
      </c>
      <c r="D22" t="n">
        <v>5.28</v>
      </c>
    </row>
    <row r="23">
      <c r="A23">
        <f>HYPERLINK("https://www.tradingview.com/chart/?symbol=NSE:MUTHOOTFIN", "MUTHOOTFIN")</f>
        <v/>
      </c>
      <c r="B23" t="n">
        <v>2913500</v>
      </c>
      <c r="C23" t="n">
        <v>558349.6333333333</v>
      </c>
      <c r="D23" t="n">
        <v>5.22</v>
      </c>
    </row>
    <row r="24">
      <c r="A24">
        <f>HYPERLINK("https://www.tradingview.com/chart/?symbol=NSE:GABRIEL", "GABRIEL")</f>
        <v/>
      </c>
      <c r="B24" t="n">
        <v>725208</v>
      </c>
      <c r="C24" t="n">
        <v>139272.2333333333</v>
      </c>
      <c r="D24" t="n">
        <v>5.21</v>
      </c>
    </row>
    <row r="25">
      <c r="A25">
        <f>HYPERLINK("https://www.tradingview.com/chart/?symbol=NSE:PIRAMALFIN", "PIRAMALFIN")</f>
        <v/>
      </c>
      <c r="B25" t="n">
        <v>968870</v>
      </c>
      <c r="C25" t="n">
        <v>190243.3</v>
      </c>
      <c r="D25" t="n">
        <v>5.09</v>
      </c>
    </row>
    <row r="26">
      <c r="A26">
        <f>HYPERLINK("https://www.tradingview.com/chart/?symbol=NSE:IRB", "IRB")</f>
        <v/>
      </c>
      <c r="B26" t="n">
        <v>17278662</v>
      </c>
      <c r="C26" t="n">
        <v>3621369.9</v>
      </c>
      <c r="D26" t="n">
        <v>4.77</v>
      </c>
    </row>
    <row r="27">
      <c r="A27">
        <f>HYPERLINK("https://www.tradingview.com/chart/?symbol=NSE:IGL", "IGL")</f>
        <v/>
      </c>
      <c r="B27" t="n">
        <v>7447875</v>
      </c>
      <c r="C27" t="n">
        <v>1594373</v>
      </c>
      <c r="D27" t="n">
        <v>4.67</v>
      </c>
    </row>
    <row r="28">
      <c r="A28">
        <f>HYPERLINK("https://www.tradingview.com/chart/?symbol=NSE:BHARTIHEXA", "BHARTIHEXA")</f>
        <v/>
      </c>
      <c r="B28" t="n">
        <v>410630</v>
      </c>
      <c r="C28" t="n">
        <v>90557.7</v>
      </c>
      <c r="D28" t="n">
        <v>4.53</v>
      </c>
    </row>
    <row r="29">
      <c r="A29">
        <f>HYPERLINK("https://www.tradingview.com/chart/?symbol=NSE:ABDL", "ABDL")</f>
        <v/>
      </c>
      <c r="B29" t="n">
        <v>848783</v>
      </c>
      <c r="C29" t="n">
        <v>196467.9</v>
      </c>
      <c r="D29" t="n">
        <v>4.32</v>
      </c>
    </row>
    <row r="30">
      <c r="A30">
        <f>HYPERLINK("https://www.tradingview.com/chart/?symbol=NSE:TATATECH", "TATATECH")</f>
        <v/>
      </c>
      <c r="B30" t="n">
        <v>1930981</v>
      </c>
      <c r="C30" t="n">
        <v>453979.9666666667</v>
      </c>
      <c r="D30" t="n">
        <v>4.25</v>
      </c>
    </row>
    <row r="31">
      <c r="A31">
        <f>HYPERLINK("https://www.tradingview.com/chart/?symbol=NSE:CARBORUNIV", "CARBORUNIV")</f>
        <v/>
      </c>
      <c r="B31" t="n">
        <v>302807</v>
      </c>
      <c r="C31" t="n">
        <v>73808.03333333334</v>
      </c>
      <c r="D31" t="n">
        <v>4.1</v>
      </c>
    </row>
    <row r="32">
      <c r="A32">
        <f>HYPERLINK("https://www.tradingview.com/chart/?symbol=NSE:HDBFS", "HDBFS")</f>
        <v/>
      </c>
      <c r="B32" t="n">
        <v>2679402</v>
      </c>
      <c r="C32" t="n">
        <v>654653.7333333333</v>
      </c>
      <c r="D32" t="n">
        <v>4.09</v>
      </c>
    </row>
    <row r="33">
      <c r="A33">
        <f>HYPERLINK("https://www.tradingview.com/chart/?symbol=NSE:CEMPRO", "CEMPRO")</f>
        <v/>
      </c>
      <c r="B33" t="n">
        <v>633225</v>
      </c>
      <c r="C33" t="n">
        <v>161720.2333333333</v>
      </c>
      <c r="D33" t="n">
        <v>3.92</v>
      </c>
    </row>
    <row r="34">
      <c r="A34">
        <f>HYPERLINK("https://www.tradingview.com/chart/?symbol=NSE:NH", "NH")</f>
        <v/>
      </c>
      <c r="B34" t="n">
        <v>670245</v>
      </c>
      <c r="C34" t="n">
        <v>172992.0666666667</v>
      </c>
      <c r="D34" t="n">
        <v>3.87</v>
      </c>
    </row>
    <row r="35">
      <c r="A35">
        <f>HYPERLINK("https://www.tradingview.com/chart/?symbol=NSE:DMART", "DMART")</f>
        <v/>
      </c>
      <c r="B35" t="n">
        <v>977086</v>
      </c>
      <c r="C35" t="n">
        <v>258669.1</v>
      </c>
      <c r="D35" t="n">
        <v>3.78</v>
      </c>
    </row>
    <row r="36">
      <c r="A36">
        <f>HYPERLINK("https://www.tradingview.com/chart/?symbol=NSE:DELHIVERY", "DELHIVERY")</f>
        <v/>
      </c>
      <c r="B36" t="n">
        <v>3312168</v>
      </c>
      <c r="C36" t="n">
        <v>895676.2666666667</v>
      </c>
      <c r="D36" t="n">
        <v>3.7</v>
      </c>
    </row>
    <row r="37">
      <c r="A37">
        <f>HYPERLINK("https://www.tradingview.com/chart/?symbol=NSE:RADICO", "RADICO")</f>
        <v/>
      </c>
      <c r="B37" t="n">
        <v>914589</v>
      </c>
      <c r="C37" t="n">
        <v>247462.5666666667</v>
      </c>
      <c r="D37" t="n">
        <v>3.7</v>
      </c>
    </row>
    <row r="38">
      <c r="A38">
        <f>HYPERLINK("https://www.tradingview.com/chart/?symbol=NSE:OFSS", "OFSS")</f>
        <v/>
      </c>
      <c r="B38" t="n">
        <v>195865</v>
      </c>
      <c r="C38" t="n">
        <v>53564.73333333333</v>
      </c>
      <c r="D38" t="n">
        <v>3.66</v>
      </c>
    </row>
    <row r="39">
      <c r="A39">
        <f>HYPERLINK("https://www.tradingview.com/chart/?symbol=NSE:FACT", "FACT")</f>
        <v/>
      </c>
      <c r="B39" t="n">
        <v>432095</v>
      </c>
      <c r="C39" t="n">
        <v>124776</v>
      </c>
      <c r="D39" t="n">
        <v>3.46</v>
      </c>
    </row>
    <row r="40">
      <c r="A40">
        <f>HYPERLINK("https://www.tradingview.com/chart/?symbol=NSE:LGEINDIA", "LGEINDIA")</f>
        <v/>
      </c>
      <c r="B40" t="n">
        <v>1316599</v>
      </c>
      <c r="C40" t="n">
        <v>381440.7666666667</v>
      </c>
      <c r="D40" t="n">
        <v>3.45</v>
      </c>
    </row>
    <row r="41">
      <c r="A41">
        <f>HYPERLINK("https://www.tradingview.com/chart/?symbol=NSE:NUVAMA", "NUVAMA")</f>
        <v/>
      </c>
      <c r="B41" t="n">
        <v>650000</v>
      </c>
      <c r="C41" t="n">
        <v>188572.4</v>
      </c>
      <c r="D41" t="n">
        <v>3.45</v>
      </c>
    </row>
    <row r="42">
      <c r="A42">
        <f>HYPERLINK("https://www.tradingview.com/chart/?symbol=NSE:YESBANK", "YESBANK")</f>
        <v/>
      </c>
      <c r="B42" t="n">
        <v>148050296</v>
      </c>
      <c r="C42" t="n">
        <v>43306880.36666667</v>
      </c>
      <c r="D42" t="n">
        <v>3.42</v>
      </c>
    </row>
    <row r="43">
      <c r="A43">
        <f>HYPERLINK("https://www.tradingview.com/chart/?symbol=NSE:MCX", "MCX")</f>
        <v/>
      </c>
      <c r="B43" t="n">
        <v>4751507</v>
      </c>
      <c r="C43" t="n">
        <v>1478307.166666667</v>
      </c>
      <c r="D43" t="n">
        <v>3.21</v>
      </c>
    </row>
    <row r="44">
      <c r="A44">
        <f>HYPERLINK("https://www.tradingview.com/chart/?symbol=NSE:ZYDUSWELL", "ZYDUSWELL")</f>
        <v/>
      </c>
      <c r="B44" t="n">
        <v>647174</v>
      </c>
      <c r="C44" t="n">
        <v>204102.2</v>
      </c>
      <c r="D44" t="n">
        <v>3.17</v>
      </c>
    </row>
    <row r="45">
      <c r="A45">
        <f>HYPERLINK("https://www.tradingview.com/chart/?symbol=NSE:SYNGENE", "SYNGENE")</f>
        <v/>
      </c>
      <c r="B45" t="n">
        <v>2130926</v>
      </c>
      <c r="C45" t="n">
        <v>681108.9333333333</v>
      </c>
      <c r="D45" t="n">
        <v>3.13</v>
      </c>
    </row>
    <row r="46">
      <c r="A46">
        <f>HYPERLINK("https://www.tradingview.com/chart/?symbol=NSE:IOB", "IOB")</f>
        <v/>
      </c>
      <c r="B46" t="n">
        <v>10400450</v>
      </c>
      <c r="C46" t="n">
        <v>3356066.733333333</v>
      </c>
      <c r="D46" t="n">
        <v>3.1</v>
      </c>
    </row>
    <row r="47">
      <c r="A47">
        <f>HYPERLINK("https://www.tradingview.com/chart/?symbol=NSE:HYUNDAI", "HYUNDAI")</f>
        <v/>
      </c>
      <c r="B47" t="n">
        <v>947400</v>
      </c>
      <c r="C47" t="n">
        <v>308951.7666666667</v>
      </c>
      <c r="D47" t="n">
        <v>3.07</v>
      </c>
    </row>
    <row r="48">
      <c r="A48">
        <f>HYPERLINK("https://www.tradingview.com/chart/?symbol=NSE:PARADEEP", "PARADEEP")</f>
        <v/>
      </c>
      <c r="B48" t="n">
        <v>6387738</v>
      </c>
      <c r="C48" t="n">
        <v>2087463.066666667</v>
      </c>
      <c r="D48" t="n">
        <v>3.06</v>
      </c>
    </row>
    <row r="49">
      <c r="A49">
        <f>HYPERLINK("https://www.tradingview.com/chart/?symbol=NSE:UCOBANK", "UCOBANK")</f>
        <v/>
      </c>
      <c r="B49" t="n">
        <v>10803861</v>
      </c>
      <c r="C49" t="n">
        <v>3556357.133333333</v>
      </c>
      <c r="D49" t="n">
        <v>3.04</v>
      </c>
    </row>
    <row r="50">
      <c r="A50">
        <f>HYPERLINK("https://www.tradingview.com/chart/?symbol=NSE:HCLTECH", "HCLTECH")</f>
        <v/>
      </c>
      <c r="B50" t="n">
        <v>6072450</v>
      </c>
      <c r="C50" t="n">
        <v>2004750.166666667</v>
      </c>
      <c r="D50" t="n">
        <v>3.03</v>
      </c>
    </row>
    <row r="51">
      <c r="A51">
        <f>HYPERLINK("https://www.tradingview.com/chart/?symbol=NSE:KARURVYSYA", "KARURVYSYA")</f>
        <v/>
      </c>
      <c r="B51" t="n">
        <v>5093062</v>
      </c>
      <c r="C51" t="n">
        <v>1680722.266666667</v>
      </c>
      <c r="D51" t="n">
        <v>3.03</v>
      </c>
    </row>
    <row r="52">
      <c r="A52">
        <f>HYPERLINK("https://www.tradingview.com/chart/?symbol=NSE:SBICARD", "SBICARD")</f>
        <v/>
      </c>
      <c r="B52" t="n">
        <v>2327938</v>
      </c>
      <c r="C52" t="n">
        <v>775341.6666666666</v>
      </c>
      <c r="D5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2026-03-30T19:38:11Z</dcterms:created>
  <dcterms:modified xsi:type="dcterms:W3CDTF">2026-03-30T19:38:11Z</dcterms:modified>
</cp:coreProperties>
</file>