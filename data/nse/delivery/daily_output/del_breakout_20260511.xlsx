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HYPERLINK("https://www.tradingview.com/chart/?symbol=NSE:NIVABUPA", "NIVABUPA")</f>
        <v/>
      </c>
      <c r="B2" t="n">
        <v>8609145</v>
      </c>
      <c r="C2" t="n">
        <v>694660.9</v>
      </c>
      <c r="D2" t="n">
        <v>12.39</v>
      </c>
    </row>
    <row r="3">
      <c r="A3">
        <f>HYPERLINK("https://www.tradingview.com/chart/?symbol=NSE:MAPMYINDIA", "MAPMYINDIA")</f>
        <v/>
      </c>
      <c r="B3" t="n">
        <v>503936</v>
      </c>
      <c r="C3" t="n">
        <v>66373.73333333334</v>
      </c>
      <c r="D3" t="n">
        <v>7.59</v>
      </c>
    </row>
    <row r="4">
      <c r="A4">
        <f>HYPERLINK("https://www.tradingview.com/chart/?symbol=NSE:DALBHARAT", "DALBHARAT")</f>
        <v/>
      </c>
      <c r="B4" t="n">
        <v>1006116</v>
      </c>
      <c r="C4" t="n">
        <v>173097.8</v>
      </c>
      <c r="D4" t="n">
        <v>5.81</v>
      </c>
    </row>
    <row r="5">
      <c r="A5">
        <f>HYPERLINK("https://www.tradingview.com/chart/?symbol=NSE:TATACONSUM", "TATACONSUM")</f>
        <v/>
      </c>
      <c r="B5" t="n">
        <v>6556466</v>
      </c>
      <c r="C5" t="n">
        <v>1175611.233333333</v>
      </c>
      <c r="D5" t="n">
        <v>5.58</v>
      </c>
    </row>
    <row r="6">
      <c r="A6">
        <f>HYPERLINK("https://www.tradingview.com/chart/?symbol=NSE:KALYANKJIL", "KALYANKJIL")</f>
        <v/>
      </c>
      <c r="B6" t="n">
        <v>8515245</v>
      </c>
      <c r="C6" t="n">
        <v>1874350.7</v>
      </c>
      <c r="D6" t="n">
        <v>4.54</v>
      </c>
    </row>
    <row r="7">
      <c r="A7">
        <f>HYPERLINK("https://www.tradingview.com/chart/?symbol=NSE:AFFLE", "AFFLE")</f>
        <v/>
      </c>
      <c r="B7" t="n">
        <v>792671</v>
      </c>
      <c r="C7" t="n">
        <v>175423.6</v>
      </c>
      <c r="D7" t="n">
        <v>4.52</v>
      </c>
    </row>
    <row r="8">
      <c r="A8">
        <f>HYPERLINK("https://www.tradingview.com/chart/?symbol=NSE:ACC", "ACC")</f>
        <v/>
      </c>
      <c r="B8" t="n">
        <v>588314</v>
      </c>
      <c r="C8" t="n">
        <v>132355.5</v>
      </c>
      <c r="D8" t="n">
        <v>4.44</v>
      </c>
    </row>
    <row r="9">
      <c r="A9">
        <f>HYPERLINK("https://www.tradingview.com/chart/?symbol=NSE:KIMS", "KIMS")</f>
        <v/>
      </c>
      <c r="B9" t="n">
        <v>1432686</v>
      </c>
      <c r="C9" t="n">
        <v>327466.4333333333</v>
      </c>
      <c r="D9" t="n">
        <v>4.38</v>
      </c>
    </row>
    <row r="10">
      <c r="A10">
        <f>HYPERLINK("https://www.tradingview.com/chart/?symbol=NSE:VIJAYA", "VIJAYA")</f>
        <v/>
      </c>
      <c r="B10" t="n">
        <v>648028</v>
      </c>
      <c r="C10" t="n">
        <v>148816.5333333333</v>
      </c>
      <c r="D10" t="n">
        <v>4.35</v>
      </c>
    </row>
    <row r="11">
      <c r="A11">
        <f>HYPERLINK("https://www.tradingview.com/chart/?symbol=NSE:CRAFTSMAN", "CRAFTSMAN")</f>
        <v/>
      </c>
      <c r="B11" t="n">
        <v>136365</v>
      </c>
      <c r="C11" t="n">
        <v>31544.33333333333</v>
      </c>
      <c r="D11" t="n">
        <v>4.32</v>
      </c>
    </row>
    <row r="12">
      <c r="A12">
        <f>HYPERLINK("https://www.tradingview.com/chart/?symbol=NSE:ABB", "ABB")</f>
        <v/>
      </c>
      <c r="B12" t="n">
        <v>845568</v>
      </c>
      <c r="C12" t="n">
        <v>200815.3</v>
      </c>
      <c r="D12" t="n">
        <v>4.21</v>
      </c>
    </row>
    <row r="13">
      <c r="A13">
        <f>HYPERLINK("https://www.tradingview.com/chart/?symbol=NSE:ABREL", "ABREL")</f>
        <v/>
      </c>
      <c r="B13" t="n">
        <v>571810</v>
      </c>
      <c r="C13" t="n">
        <v>136753.8</v>
      </c>
      <c r="D13" t="n">
        <v>4.18</v>
      </c>
    </row>
    <row r="14">
      <c r="A14">
        <f>HYPERLINK("https://www.tradingview.com/chart/?symbol=NSE:JBMA", "JBMA")</f>
        <v/>
      </c>
      <c r="B14" t="n">
        <v>1278307</v>
      </c>
      <c r="C14" t="n">
        <v>311392.6666666667</v>
      </c>
      <c r="D14" t="n">
        <v>4.11</v>
      </c>
    </row>
    <row r="15">
      <c r="A15">
        <f>HYPERLINK("https://www.tradingview.com/chart/?symbol=NSE:URBANCO", "URBANCO")</f>
        <v/>
      </c>
      <c r="B15" t="n">
        <v>9556004</v>
      </c>
      <c r="C15" t="n">
        <v>2378798.366666667</v>
      </c>
      <c r="D15" t="n">
        <v>4.02</v>
      </c>
    </row>
    <row r="16">
      <c r="A16">
        <f>HYPERLINK("https://www.tradingview.com/chart/?symbol=NSE:BLUEDART", "BLUEDART")</f>
        <v/>
      </c>
      <c r="B16" t="n">
        <v>31209</v>
      </c>
      <c r="C16" t="n">
        <v>8063.966666666666</v>
      </c>
      <c r="D16" t="n">
        <v>3.87</v>
      </c>
    </row>
    <row r="17">
      <c r="A17">
        <f>HYPERLINK("https://www.tradingview.com/chart/?symbol=NSE:TITAN", "TITAN")</f>
        <v/>
      </c>
      <c r="B17" t="n">
        <v>2737801</v>
      </c>
      <c r="C17" t="n">
        <v>767628.7</v>
      </c>
      <c r="D17" t="n">
        <v>3.57</v>
      </c>
    </row>
    <row r="18">
      <c r="A18">
        <f>HYPERLINK("https://www.tradingview.com/chart/?symbol=NSE:IPCALAB", "IPCALAB")</f>
        <v/>
      </c>
      <c r="B18" t="n">
        <v>376034</v>
      </c>
      <c r="C18" t="n">
        <v>111431.5333333333</v>
      </c>
      <c r="D18" t="n">
        <v>3.37</v>
      </c>
    </row>
    <row r="19">
      <c r="A19">
        <f>HYPERLINK("https://www.tradingview.com/chart/?symbol=NSE:AEGISVOPAK", "AEGISVOPAK")</f>
        <v/>
      </c>
      <c r="B19" t="n">
        <v>1454866</v>
      </c>
      <c r="C19" t="n">
        <v>434871.4333333333</v>
      </c>
      <c r="D19" t="n">
        <v>3.35</v>
      </c>
    </row>
    <row r="20">
      <c r="A20">
        <f>HYPERLINK("https://www.tradingview.com/chart/?symbol=NSE:BIOCON", "BIOCON")</f>
        <v/>
      </c>
      <c r="B20" t="n">
        <v>6054428</v>
      </c>
      <c r="C20" t="n">
        <v>1838910.3</v>
      </c>
      <c r="D20" t="n">
        <v>3.29</v>
      </c>
    </row>
    <row r="21">
      <c r="A21">
        <f>HYPERLINK("https://www.tradingview.com/chart/?symbol=NSE:ACMESOLAR", "ACMESOLAR")</f>
        <v/>
      </c>
      <c r="B21" t="n">
        <v>2664452</v>
      </c>
      <c r="C21" t="n">
        <v>816088.4666666667</v>
      </c>
      <c r="D21" t="n">
        <v>3.26</v>
      </c>
    </row>
    <row r="22">
      <c r="A22">
        <f>HYPERLINK("https://www.tradingview.com/chart/?symbol=NSE:CIEINDIA", "CIEINDIA")</f>
        <v/>
      </c>
      <c r="B22" t="n">
        <v>1014395</v>
      </c>
      <c r="C22" t="n">
        <v>330558.7</v>
      </c>
      <c r="D22" t="n">
        <v>3.07</v>
      </c>
    </row>
    <row r="23">
      <c r="A23">
        <f>HYPERLINK("https://www.tradingview.com/chart/?symbol=NSE:SBIN", "SBIN")</f>
        <v/>
      </c>
      <c r="B23" t="n">
        <v>28316556</v>
      </c>
      <c r="C23" t="n">
        <v>9416920.933333334</v>
      </c>
      <c r="D23" t="n">
        <v>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2026-05-12T04:35:19Z</dcterms:created>
  <dcterms:modified xsi:type="dcterms:W3CDTF">2026-05-12T04:35:19Z</dcterms:modified>
</cp:coreProperties>
</file>