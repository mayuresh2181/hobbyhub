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HYPERLINK("https://www.tradingview.com/chart/?symbol=NSE:GODFRYPHLP", "GODFRYPHLP")</f>
        <v/>
      </c>
      <c r="B2" t="n">
        <v>1406849</v>
      </c>
      <c r="C2" t="n">
        <v>187110.9666666667</v>
      </c>
      <c r="D2" t="n">
        <v>7.52</v>
      </c>
    </row>
    <row r="3">
      <c r="A3">
        <f>HYPERLINK("https://www.tradingview.com/chart/?symbol=NSE:NEWGEN", "NEWGEN")</f>
        <v/>
      </c>
      <c r="B3" t="n">
        <v>1727896</v>
      </c>
      <c r="C3" t="n">
        <v>407846.2</v>
      </c>
      <c r="D3" t="n">
        <v>4.24</v>
      </c>
    </row>
    <row r="4">
      <c r="A4">
        <f>HYPERLINK("https://www.tradingview.com/chart/?symbol=NSE:KAJARIACER", "KAJARIACER")</f>
        <v/>
      </c>
      <c r="B4" t="n">
        <v>564186</v>
      </c>
      <c r="C4" t="n">
        <v>139759</v>
      </c>
      <c r="D4" t="n">
        <v>4.04</v>
      </c>
    </row>
    <row r="5">
      <c r="A5">
        <f>HYPERLINK("https://www.tradingview.com/chart/?symbol=NSE:SCHNEIDER", "SCHNEIDER")</f>
        <v/>
      </c>
      <c r="B5" t="n">
        <v>789067</v>
      </c>
      <c r="C5" t="n">
        <v>198942.8333333333</v>
      </c>
      <c r="D5" t="n">
        <v>3.97</v>
      </c>
    </row>
    <row r="6">
      <c r="A6">
        <f>HYPERLINK("https://www.tradingview.com/chart/?symbol=NSE:PIDILITIND", "PIDILITIND")</f>
        <v/>
      </c>
      <c r="B6" t="n">
        <v>1774893</v>
      </c>
      <c r="C6" t="n">
        <v>454359.0666666667</v>
      </c>
      <c r="D6" t="n">
        <v>3.91</v>
      </c>
    </row>
    <row r="7">
      <c r="A7">
        <f>HYPERLINK("https://www.tradingview.com/chart/?symbol=NSE:ICICIPRULI", "ICICIPRULI")</f>
        <v/>
      </c>
      <c r="B7" t="n">
        <v>3189204</v>
      </c>
      <c r="C7" t="n">
        <v>828805.2666666667</v>
      </c>
      <c r="D7" t="n">
        <v>3.85</v>
      </c>
    </row>
    <row r="8">
      <c r="A8">
        <f>HYPERLINK("https://www.tradingview.com/chart/?symbol=NSE:TECHNOE", "TECHNOE")</f>
        <v/>
      </c>
      <c r="B8" t="n">
        <v>321333</v>
      </c>
      <c r="C8" t="n">
        <v>90558.16666666667</v>
      </c>
      <c r="D8" t="n">
        <v>3.55</v>
      </c>
    </row>
    <row r="9">
      <c r="A9">
        <f>HYPERLINK("https://www.tradingview.com/chart/?symbol=NSE:NETWEB", "NETWEB")</f>
        <v/>
      </c>
      <c r="B9" t="n">
        <v>1120256</v>
      </c>
      <c r="C9" t="n">
        <v>318289.6333333334</v>
      </c>
      <c r="D9" t="n">
        <v>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2026-02-19T15:34:19Z</dcterms:created>
  <dcterms:modified xsi:type="dcterms:W3CDTF">2026-02-19T15:34:19Z</dcterms:modified>
</cp:coreProperties>
</file>