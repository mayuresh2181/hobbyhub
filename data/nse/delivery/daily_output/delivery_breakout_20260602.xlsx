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HYPERLINK("https://www.tradingview.com/chart/?symbol=NSE:NHPC","NHPC")</f>
        <v/>
      </c>
      <c r="B2" t="n">
        <v>92391042</v>
      </c>
      <c r="C2" t="n">
        <v>7382361.344827586</v>
      </c>
      <c r="D2" t="n">
        <v>12.52</v>
      </c>
    </row>
    <row r="3">
      <c r="A3">
        <f>HYPERLINK("https://www.tradingview.com/chart/?symbol=NSE:BALKRISIND","BALKRISIND")</f>
        <v/>
      </c>
      <c r="B3" t="n">
        <v>982559</v>
      </c>
      <c r="C3" t="n">
        <v>87295.1724137931</v>
      </c>
      <c r="D3" t="n">
        <v>11.26</v>
      </c>
    </row>
    <row r="4">
      <c r="A4">
        <f>HYPERLINK("https://www.tradingview.com/chart/?symbol=NSE:NEWGEN","NEWGEN")</f>
        <v/>
      </c>
      <c r="B4" t="n">
        <v>2688058</v>
      </c>
      <c r="C4" t="n">
        <v>335397</v>
      </c>
      <c r="D4" t="n">
        <v>8.01</v>
      </c>
    </row>
    <row r="5">
      <c r="A5">
        <f>HYPERLINK("https://www.tradingview.com/chart/?symbol=NSE:SIGNATURE","SIGNATURE")</f>
        <v/>
      </c>
      <c r="B5" t="n">
        <v>334543</v>
      </c>
      <c r="C5" t="n">
        <v>43116.79310344828</v>
      </c>
      <c r="D5" t="n">
        <v>7.76</v>
      </c>
    </row>
    <row r="6">
      <c r="A6">
        <f>HYPERLINK("https://www.tradingview.com/chart/?symbol=NSE:RHIM","RHIM")</f>
        <v/>
      </c>
      <c r="B6" t="n">
        <v>991111</v>
      </c>
      <c r="C6" t="n">
        <v>135056.275862069</v>
      </c>
      <c r="D6" t="n">
        <v>7.34</v>
      </c>
    </row>
    <row r="7">
      <c r="A7">
        <f>HYPERLINK("https://www.tradingview.com/chart/?symbol=NSE:HONAUT","HONAUT")</f>
        <v/>
      </c>
      <c r="B7" t="n">
        <v>23779</v>
      </c>
      <c r="C7" t="n">
        <v>3806.724137931034</v>
      </c>
      <c r="D7" t="n">
        <v>6.25</v>
      </c>
    </row>
    <row r="8">
      <c r="A8">
        <f>HYPERLINK("https://www.tradingview.com/chart/?symbol=NSE:ACMESOLAR","ACMESOLAR")</f>
        <v/>
      </c>
      <c r="B8" t="n">
        <v>4035417</v>
      </c>
      <c r="C8" t="n">
        <v>810466.9655172414</v>
      </c>
      <c r="D8" t="n">
        <v>4.98</v>
      </c>
    </row>
    <row r="9">
      <c r="A9">
        <f>HYPERLINK("https://www.tradingview.com/chart/?symbol=NSE:AIIL","AIIL")</f>
        <v/>
      </c>
      <c r="B9" t="n">
        <v>811101</v>
      </c>
      <c r="C9" t="n">
        <v>170111.5172413793</v>
      </c>
      <c r="D9" t="n">
        <v>4.77</v>
      </c>
    </row>
    <row r="10">
      <c r="A10">
        <f>HYPERLINK("https://www.tradingview.com/chart/?symbol=NSE:ZENSARTECH","ZENSARTECH")</f>
        <v/>
      </c>
      <c r="B10" t="n">
        <v>1002677</v>
      </c>
      <c r="C10" t="n">
        <v>211792.4827586207</v>
      </c>
      <c r="D10" t="n">
        <v>4.73</v>
      </c>
    </row>
    <row r="11">
      <c r="A11">
        <f>HYPERLINK("https://www.tradingview.com/chart/?symbol=NSE:SONATSOFTW","SONATSOFTW")</f>
        <v/>
      </c>
      <c r="B11" t="n">
        <v>1349532</v>
      </c>
      <c r="C11" t="n">
        <v>300199.275862069</v>
      </c>
      <c r="D11" t="n">
        <v>4.5</v>
      </c>
    </row>
    <row r="12">
      <c r="A12">
        <f>HYPERLINK("https://www.tradingview.com/chart/?symbol=NSE:BSOFT","BSOFT")</f>
        <v/>
      </c>
      <c r="B12" t="n">
        <v>1654293</v>
      </c>
      <c r="C12" t="n">
        <v>411563.8620689655</v>
      </c>
      <c r="D12" t="n">
        <v>4.02</v>
      </c>
    </row>
    <row r="13">
      <c r="A13">
        <f>HYPERLINK("https://www.tradingview.com/chart/?symbol=NSE:FIVESTAR","FIVESTAR")</f>
        <v/>
      </c>
      <c r="B13" t="n">
        <v>1782327</v>
      </c>
      <c r="C13" t="n">
        <v>471743.8965517241</v>
      </c>
      <c r="D13" t="n">
        <v>3.78</v>
      </c>
    </row>
    <row r="14">
      <c r="A14">
        <f>HYPERLINK("https://www.tradingview.com/chart/?symbol=NSE:PTCIL","PTCIL")</f>
        <v/>
      </c>
      <c r="B14" t="n">
        <v>24002</v>
      </c>
      <c r="C14" t="n">
        <v>6759</v>
      </c>
      <c r="D14" t="n">
        <v>3.55</v>
      </c>
    </row>
    <row r="15">
      <c r="A15">
        <f>HYPERLINK("https://www.tradingview.com/chart/?symbol=NSE:TBOTEK","TBOTEK")</f>
        <v/>
      </c>
      <c r="B15" t="n">
        <v>141129</v>
      </c>
      <c r="C15" t="n">
        <v>40308.62068965517</v>
      </c>
      <c r="D15" t="n">
        <v>3.5</v>
      </c>
    </row>
    <row r="16">
      <c r="A16">
        <f>HYPERLINK("https://www.tradingview.com/chart/?symbol=NSE:TEGA","TEGA")</f>
        <v/>
      </c>
      <c r="B16" t="n">
        <v>121746</v>
      </c>
      <c r="C16" t="n">
        <v>36043</v>
      </c>
      <c r="D16" t="n">
        <v>3.38</v>
      </c>
    </row>
    <row r="17">
      <c r="A17">
        <f>HYPERLINK("https://www.tradingview.com/chart/?symbol=NSE:NBCC","NBCC")</f>
        <v/>
      </c>
      <c r="B17" t="n">
        <v>15225788</v>
      </c>
      <c r="C17" t="n">
        <v>4875361</v>
      </c>
      <c r="D17" t="n">
        <v>3.12</v>
      </c>
    </row>
    <row r="18">
      <c r="A18">
        <f>HYPERLINK("https://www.tradingview.com/chart/?symbol=NSE:COFORGE","COFORGE")</f>
        <v/>
      </c>
      <c r="B18" t="n">
        <v>5042313</v>
      </c>
      <c r="C18" t="n">
        <v>1645397</v>
      </c>
      <c r="D18" t="n">
        <v>3.06</v>
      </c>
    </row>
    <row r="19">
      <c r="A19">
        <f>HYPERLINK("https://www.tradingview.com/chart/?symbol=NSE:CENTRALBK","CENTRALBK")</f>
        <v/>
      </c>
      <c r="B19" t="n">
        <v>20731330</v>
      </c>
      <c r="C19" t="n">
        <v>6820147.482758621</v>
      </c>
      <c r="D19" t="n">
        <v>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2026-06-03T21:36:23Z</dcterms:created>
  <dcterms:modified xsi:type="dcterms:W3CDTF">2026-06-03T21:36:23Z</dcterms:modified>
</cp:coreProperties>
</file>