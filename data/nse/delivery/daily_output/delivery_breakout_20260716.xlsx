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HYPERLINK("https://www.tradingview.com/chart/?symbol=NSE:TORNTPHARM","TORNTPHARM")</f>
        <v/>
      </c>
      <c r="B2" t="n">
        <v>4987.6</v>
      </c>
      <c r="C2" t="n">
        <v>5061339</v>
      </c>
      <c r="D2" t="n">
        <v>3383130</v>
      </c>
      <c r="E2" t="n">
        <v>66.84</v>
      </c>
      <c r="F2" t="n">
        <v>314722.5</v>
      </c>
      <c r="G2" t="n">
        <v>10.75</v>
      </c>
      <c r="H2" t="n">
        <v>2524.39</v>
      </c>
      <c r="I2" t="n">
        <v>1687.37</v>
      </c>
    </row>
    <row r="3">
      <c r="A3">
        <f>HYPERLINK("https://www.tradingview.com/chart/?symbol=NSE:ICICIGI","ICICIGI")</f>
        <v/>
      </c>
      <c r="B3" t="n">
        <v>1623.8</v>
      </c>
      <c r="C3" t="n">
        <v>13018936</v>
      </c>
      <c r="D3" t="n">
        <v>5797850</v>
      </c>
      <c r="E3" t="n">
        <v>44.53</v>
      </c>
      <c r="F3" t="n">
        <v>404186.2333333333</v>
      </c>
      <c r="G3" t="n">
        <v>14.34</v>
      </c>
      <c r="H3" t="n">
        <v>2114.01</v>
      </c>
      <c r="I3" t="n">
        <v>941.45</v>
      </c>
    </row>
    <row r="4">
      <c r="A4">
        <f>HYPERLINK("https://www.tradingview.com/chart/?symbol=NSE:RBLBANK","RBLBANK")</f>
        <v/>
      </c>
      <c r="B4" t="n">
        <v>362.8</v>
      </c>
      <c r="C4" t="n">
        <v>30740165</v>
      </c>
      <c r="D4" t="n">
        <v>22360934</v>
      </c>
      <c r="E4" t="n">
        <v>72.73999999999999</v>
      </c>
      <c r="F4" t="n">
        <v>2749885.133333333</v>
      </c>
      <c r="G4" t="n">
        <v>8.130000000000001</v>
      </c>
      <c r="H4" t="n">
        <v>1115.25</v>
      </c>
      <c r="I4" t="n">
        <v>811.25</v>
      </c>
    </row>
    <row r="5">
      <c r="A5">
        <f>HYPERLINK("https://www.tradingview.com/chart/?symbol=NSE:JBCHEPHARM","JBCHEPHARM")</f>
        <v/>
      </c>
      <c r="B5" t="n">
        <v>2408.9</v>
      </c>
      <c r="C5" t="n">
        <v>4779224</v>
      </c>
      <c r="D5" t="n">
        <v>3191315</v>
      </c>
      <c r="E5" t="n">
        <v>66.77</v>
      </c>
      <c r="F5" t="n">
        <v>227690.3333333333</v>
      </c>
      <c r="G5" t="n">
        <v>14.02</v>
      </c>
      <c r="H5" t="n">
        <v>1151.27</v>
      </c>
      <c r="I5" t="n">
        <v>768.76</v>
      </c>
    </row>
    <row r="6">
      <c r="A6">
        <f>HYPERLINK("https://www.tradingview.com/chart/?symbol=NSE:ABB","ABB")</f>
        <v/>
      </c>
      <c r="B6" t="n">
        <v>7667.5</v>
      </c>
      <c r="C6" t="n">
        <v>2577801</v>
      </c>
      <c r="D6" t="n">
        <v>698545</v>
      </c>
      <c r="E6" t="n">
        <v>27.1</v>
      </c>
      <c r="F6" t="n">
        <v>127216.3666666667</v>
      </c>
      <c r="G6" t="n">
        <v>5.49</v>
      </c>
      <c r="H6" t="n">
        <v>1976.53</v>
      </c>
      <c r="I6" t="n">
        <v>535.61</v>
      </c>
    </row>
    <row r="7">
      <c r="A7">
        <f>HYPERLINK("https://www.tradingview.com/chart/?symbol=NSE:RKFORGE","RKFORGE")</f>
        <v/>
      </c>
      <c r="B7" t="n">
        <v>589.7</v>
      </c>
      <c r="C7" t="n">
        <v>12521884</v>
      </c>
      <c r="D7" t="n">
        <v>6964142</v>
      </c>
      <c r="E7" t="n">
        <v>55.62</v>
      </c>
      <c r="F7" t="n">
        <v>250964.3333333333</v>
      </c>
      <c r="G7" t="n">
        <v>27.75</v>
      </c>
      <c r="H7" t="n">
        <v>738.42</v>
      </c>
      <c r="I7" t="n">
        <v>410.68</v>
      </c>
    </row>
    <row r="8">
      <c r="A8">
        <f>HYPERLINK("https://www.tradingview.com/chart/?symbol=NSE:MRPL","MRPL")</f>
        <v/>
      </c>
      <c r="B8" t="n">
        <v>173.33</v>
      </c>
      <c r="C8" t="n">
        <v>204353491</v>
      </c>
      <c r="D8" t="n">
        <v>16264860</v>
      </c>
      <c r="E8" t="n">
        <v>7.96</v>
      </c>
      <c r="F8" t="n">
        <v>2160149.8</v>
      </c>
      <c r="G8" t="n">
        <v>7.53</v>
      </c>
      <c r="H8" t="n">
        <v>3542.06</v>
      </c>
      <c r="I8" t="n">
        <v>281.92</v>
      </c>
    </row>
    <row r="9">
      <c r="A9">
        <f>HYPERLINK("https://www.tradingview.com/chart/?symbol=NSE:SCHAEFFLER","SCHAEFFLER")</f>
        <v/>
      </c>
      <c r="B9" t="n">
        <v>4131.7</v>
      </c>
      <c r="C9" t="n">
        <v>345304</v>
      </c>
      <c r="D9" t="n">
        <v>309829</v>
      </c>
      <c r="E9" t="n">
        <v>89.73</v>
      </c>
      <c r="F9" t="n">
        <v>36111.56666666667</v>
      </c>
      <c r="G9" t="n">
        <v>8.58</v>
      </c>
      <c r="H9" t="n">
        <v>142.67</v>
      </c>
      <c r="I9" t="n">
        <v>128.01</v>
      </c>
    </row>
    <row r="10">
      <c r="A10">
        <f>HYPERLINK("https://www.tradingview.com/chart/?symbol=NSE:JSFB","JSFB")</f>
        <v/>
      </c>
      <c r="B10" t="n">
        <v>497.7</v>
      </c>
      <c r="C10" t="n">
        <v>6393862</v>
      </c>
      <c r="D10" t="n">
        <v>1877755</v>
      </c>
      <c r="E10" t="n">
        <v>29.37</v>
      </c>
      <c r="F10" t="n">
        <v>332174.2666666667</v>
      </c>
      <c r="G10" t="n">
        <v>5.65</v>
      </c>
      <c r="H10" t="n">
        <v>318.22</v>
      </c>
      <c r="I10" t="n">
        <v>93.45999999999999</v>
      </c>
    </row>
    <row r="11">
      <c r="A11">
        <f>HYPERLINK("https://www.tradingview.com/chart/?symbol=NSE:BECTORFOOD","BECTORFOOD")</f>
        <v/>
      </c>
      <c r="B11" t="n">
        <v>192.23</v>
      </c>
      <c r="C11" t="n">
        <v>71620356</v>
      </c>
      <c r="D11" t="n">
        <v>4840224</v>
      </c>
      <c r="E11" t="n">
        <v>6.76</v>
      </c>
      <c r="F11" t="n">
        <v>638677.7666666667</v>
      </c>
      <c r="G11" t="n">
        <v>7.58</v>
      </c>
      <c r="H11" t="n">
        <v>1376.76</v>
      </c>
      <c r="I11" t="n">
        <v>93.04000000000001</v>
      </c>
    </row>
    <row r="12">
      <c r="A12">
        <f>HYPERLINK("https://www.tradingview.com/chart/?symbol=NSE:TIMKEN","TIMKEN")</f>
        <v/>
      </c>
      <c r="B12" t="n">
        <v>3141.6</v>
      </c>
      <c r="C12" t="n">
        <v>309055</v>
      </c>
      <c r="D12" t="n">
        <v>258862</v>
      </c>
      <c r="E12" t="n">
        <v>83.76000000000001</v>
      </c>
      <c r="F12" t="n">
        <v>40010.03333333333</v>
      </c>
      <c r="G12" t="n">
        <v>6.47</v>
      </c>
      <c r="H12" t="n">
        <v>97.09</v>
      </c>
      <c r="I12" t="n">
        <v>81.31999999999999</v>
      </c>
    </row>
    <row r="13">
      <c r="A13">
        <f>HYPERLINK("https://www.tradingview.com/chart/?symbol=NSE:NILKAMAL","NILKAMAL")</f>
        <v/>
      </c>
      <c r="B13" t="n">
        <v>1341.1</v>
      </c>
      <c r="C13" t="n">
        <v>677014</v>
      </c>
      <c r="D13" t="n">
        <v>579538</v>
      </c>
      <c r="E13" t="n">
        <v>85.59999999999999</v>
      </c>
      <c r="F13" t="n">
        <v>12216.06666666667</v>
      </c>
      <c r="G13" t="n">
        <v>47.44</v>
      </c>
      <c r="H13" t="n">
        <v>90.79000000000001</v>
      </c>
      <c r="I13" t="n">
        <v>77.72</v>
      </c>
    </row>
    <row r="14">
      <c r="A14">
        <f>HYPERLINK("https://www.tradingview.com/chart/?symbol=NSE:ALIVUS","ALIVUS")</f>
        <v/>
      </c>
      <c r="B14" t="n">
        <v>1164.1</v>
      </c>
      <c r="C14" t="n">
        <v>627185</v>
      </c>
      <c r="D14" t="n">
        <v>490079</v>
      </c>
      <c r="E14" t="n">
        <v>78.14</v>
      </c>
      <c r="F14" t="n">
        <v>51541.13333333333</v>
      </c>
      <c r="G14" t="n">
        <v>9.51</v>
      </c>
      <c r="H14" t="n">
        <v>73.01000000000001</v>
      </c>
      <c r="I14" t="n">
        <v>57.05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2026-07-16T19:43:46Z</dcterms:created>
  <dcterms:modified xsi:type="dcterms:W3CDTF">2026-07-16T19:43:46Z</dcterms:modified>
</cp:coreProperties>
</file>