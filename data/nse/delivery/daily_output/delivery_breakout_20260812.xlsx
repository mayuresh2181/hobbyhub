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0" customWidth="1" min="2" max="2"/>
    <col width="15" customWidth="1" min="3" max="3"/>
    <col width="15" customWidth="1" min="4" max="4"/>
    <col width="13" customWidth="1" min="5" max="5"/>
    <col width="20" customWidth="1" min="6" max="6"/>
    <col width="17" customWidth="1" min="7" max="7"/>
    <col width="18" customWidth="1" min="8" max="8"/>
    <col width="20" customWidth="1" min="9" max="9"/>
  </cols>
  <sheetData>
    <row r="1">
      <c r="A1" s="1" t="inlineStr">
        <is>
          <t>SYMBOL</t>
        </is>
      </c>
      <c r="B1" s="1" t="inlineStr">
        <is>
          <t>LTP</t>
        </is>
      </c>
      <c r="C1" s="1" t="inlineStr">
        <is>
          <t>TOTAL_VOLUME</t>
        </is>
      </c>
      <c r="D1" s="1" t="inlineStr">
        <is>
          <t>DELIVERY_QTY</t>
        </is>
      </c>
      <c r="E1" s="1" t="inlineStr">
        <is>
          <t>DELIVERY_%</t>
        </is>
      </c>
      <c r="F1" s="1" t="inlineStr">
        <is>
          <t>AVG_30_DELIVERY</t>
        </is>
      </c>
      <c r="G1" s="1" t="inlineStr">
        <is>
          <t>DELIVERY_RATIO</t>
        </is>
      </c>
      <c r="H1" s="1" t="inlineStr">
        <is>
          <t>TRADED_VALUE_CR</t>
        </is>
      </c>
      <c r="I1" s="1" t="inlineStr">
        <is>
          <t>DELIVERY_VALUE_CR</t>
        </is>
      </c>
    </row>
    <row r="2">
      <c r="A2">
        <f>HYPERLINK("https://www.tradingview.com/chart/?symbol=NSE:AGARWALEYE","AGARWALEYE")</f>
        <v/>
      </c>
      <c r="B2" t="n">
        <v>511.45</v>
      </c>
      <c r="C2" t="n">
        <v>48136246</v>
      </c>
      <c r="D2" t="n">
        <v>40339479</v>
      </c>
      <c r="E2" t="n">
        <v>83.8</v>
      </c>
      <c r="F2" t="n">
        <v>54143.76666666667</v>
      </c>
      <c r="G2" t="n">
        <v>745.04</v>
      </c>
      <c r="H2" t="n">
        <v>2461.93</v>
      </c>
      <c r="I2" t="n">
        <v>2063.16</v>
      </c>
    </row>
    <row r="3">
      <c r="A3">
        <f>HYPERLINK("https://www.tradingview.com/chart/?symbol=NSE:TENNIND","TENNIND")</f>
        <v/>
      </c>
      <c r="B3" t="n">
        <v>540.65</v>
      </c>
      <c r="C3" t="n">
        <v>58478202</v>
      </c>
      <c r="D3" t="n">
        <v>35620229</v>
      </c>
      <c r="E3" t="n">
        <v>60.91</v>
      </c>
      <c r="F3" t="n">
        <v>420081.9333333333</v>
      </c>
      <c r="G3" t="n">
        <v>84.79000000000001</v>
      </c>
      <c r="H3" t="n">
        <v>3161.62</v>
      </c>
      <c r="I3" t="n">
        <v>1925.81</v>
      </c>
    </row>
    <row r="4">
      <c r="A4">
        <f>HYPERLINK("https://www.tradingview.com/chart/?symbol=NSE:GODREJCP","GODREJCP")</f>
        <v/>
      </c>
      <c r="B4" t="n">
        <v>910</v>
      </c>
      <c r="C4" t="n">
        <v>22527411</v>
      </c>
      <c r="D4" t="n">
        <v>12452111</v>
      </c>
      <c r="E4" t="n">
        <v>55.28</v>
      </c>
      <c r="F4" t="n">
        <v>381952.2</v>
      </c>
      <c r="G4" t="n">
        <v>32.6</v>
      </c>
      <c r="H4" t="n">
        <v>2049.99</v>
      </c>
      <c r="I4" t="n">
        <v>1133.14</v>
      </c>
    </row>
    <row r="5">
      <c r="A5">
        <f>HYPERLINK("https://www.tradingview.com/chart/?symbol=NSE:FINCABLES","FINCABLES")</f>
        <v/>
      </c>
      <c r="B5" t="n">
        <v>1280.05</v>
      </c>
      <c r="C5" t="n">
        <v>20153531</v>
      </c>
      <c r="D5" t="n">
        <v>2055837</v>
      </c>
      <c r="E5" t="n">
        <v>10.2</v>
      </c>
      <c r="F5" t="n">
        <v>159025.8666666667</v>
      </c>
      <c r="G5" t="n">
        <v>12.93</v>
      </c>
      <c r="H5" t="n">
        <v>2579.75</v>
      </c>
      <c r="I5" t="n">
        <v>263.16</v>
      </c>
    </row>
    <row r="6">
      <c r="A6">
        <f>HYPERLINK("https://www.tradingview.com/chart/?symbol=NSE:PIIND","PIIND")</f>
        <v/>
      </c>
      <c r="B6" t="n">
        <v>2483</v>
      </c>
      <c r="C6" t="n">
        <v>2138051</v>
      </c>
      <c r="D6" t="n">
        <v>662122</v>
      </c>
      <c r="E6" t="n">
        <v>30.97</v>
      </c>
      <c r="F6" t="n">
        <v>99042.2</v>
      </c>
      <c r="G6" t="n">
        <v>6.69</v>
      </c>
      <c r="H6" t="n">
        <v>530.88</v>
      </c>
      <c r="I6" t="n">
        <v>164.4</v>
      </c>
    </row>
    <row r="7">
      <c r="A7">
        <f>HYPERLINK("https://www.tradingview.com/chart/?symbol=NSE:MARKSANS","MARKSANS")</f>
        <v/>
      </c>
      <c r="B7" t="n">
        <v>312.6</v>
      </c>
      <c r="C7" t="n">
        <v>47809908</v>
      </c>
      <c r="D7" t="n">
        <v>4788095</v>
      </c>
      <c r="E7" t="n">
        <v>10.01</v>
      </c>
      <c r="F7" t="n">
        <v>677446.5666666667</v>
      </c>
      <c r="G7" t="n">
        <v>7.07</v>
      </c>
      <c r="H7" t="n">
        <v>1494.54</v>
      </c>
      <c r="I7" t="n">
        <v>149.68</v>
      </c>
    </row>
    <row r="8">
      <c r="A8">
        <f>HYPERLINK("https://www.tradingview.com/chart/?symbol=NSE:EPL","EPL")</f>
        <v/>
      </c>
      <c r="B8" t="n">
        <v>243.64</v>
      </c>
      <c r="C8" t="n">
        <v>15355500</v>
      </c>
      <c r="D8" t="n">
        <v>4737156</v>
      </c>
      <c r="E8" t="n">
        <v>30.85</v>
      </c>
      <c r="F8" t="n">
        <v>242212.9</v>
      </c>
      <c r="G8" t="n">
        <v>19.56</v>
      </c>
      <c r="H8" t="n">
        <v>374.12</v>
      </c>
      <c r="I8" t="n">
        <v>115.42</v>
      </c>
    </row>
    <row r="9">
      <c r="A9">
        <f>HYPERLINK("https://www.tradingview.com/chart/?symbol=NSE:AARTIIND","AARTIIND")</f>
        <v/>
      </c>
      <c r="B9" t="n">
        <v>530.9</v>
      </c>
      <c r="C9" t="n">
        <v>5378998</v>
      </c>
      <c r="D9" t="n">
        <v>1900260</v>
      </c>
      <c r="E9" t="n">
        <v>35.33</v>
      </c>
      <c r="F9" t="n">
        <v>375819.9666666667</v>
      </c>
      <c r="G9" t="n">
        <v>5.06</v>
      </c>
      <c r="H9" t="n">
        <v>285.57</v>
      </c>
      <c r="I9" t="n">
        <v>100.88</v>
      </c>
    </row>
    <row r="10">
      <c r="A10">
        <f>HYPERLINK("https://www.tradingview.com/chart/?symbol=NSE:MANINDS","MANINDS")</f>
        <v/>
      </c>
      <c r="B10" t="n">
        <v>598.65</v>
      </c>
      <c r="C10" t="n">
        <v>10838305</v>
      </c>
      <c r="D10" t="n">
        <v>1509043</v>
      </c>
      <c r="E10" t="n">
        <v>13.92</v>
      </c>
      <c r="F10" t="n">
        <v>101774.9333333333</v>
      </c>
      <c r="G10" t="n">
        <v>14.83</v>
      </c>
      <c r="H10" t="n">
        <v>648.84</v>
      </c>
      <c r="I10" t="n">
        <v>90.34</v>
      </c>
    </row>
    <row r="11">
      <c r="A11">
        <f>HYPERLINK("https://www.tradingview.com/chart/?symbol=NSE:PANAMAPET","PANAMAPET")</f>
        <v/>
      </c>
      <c r="B11" t="n">
        <v>480.55</v>
      </c>
      <c r="C11" t="n">
        <v>11231024</v>
      </c>
      <c r="D11" t="n">
        <v>1683904</v>
      </c>
      <c r="E11" t="n">
        <v>14.99</v>
      </c>
      <c r="F11" t="n">
        <v>112843.8666666667</v>
      </c>
      <c r="G11" t="n">
        <v>14.92</v>
      </c>
      <c r="H11" t="n">
        <v>539.71</v>
      </c>
      <c r="I11" t="n">
        <v>80.92</v>
      </c>
    </row>
    <row r="12">
      <c r="A12">
        <f>HYPERLINK("https://www.tradingview.com/chart/?symbol=NSE:VIJAYA","VIJAYA")</f>
        <v/>
      </c>
      <c r="B12" t="n">
        <v>1510.6</v>
      </c>
      <c r="C12" t="n">
        <v>1399910</v>
      </c>
      <c r="D12" t="n">
        <v>524486</v>
      </c>
      <c r="E12" t="n">
        <v>37.47</v>
      </c>
      <c r="F12" t="n">
        <v>87258.96666666666</v>
      </c>
      <c r="G12" t="n">
        <v>6.01</v>
      </c>
      <c r="H12" t="n">
        <v>211.47</v>
      </c>
      <c r="I12" t="n">
        <v>79.23</v>
      </c>
    </row>
    <row r="13">
      <c r="A13">
        <f>HYPERLINK("https://www.tradingview.com/chart/?symbol=NSE:GUJENERGY","GUJENERGY")</f>
        <v/>
      </c>
      <c r="B13" t="n">
        <v>274.35</v>
      </c>
      <c r="C13" t="n">
        <v>6836300</v>
      </c>
      <c r="D13" t="n">
        <v>2791531</v>
      </c>
      <c r="E13" t="n">
        <v>40.83</v>
      </c>
      <c r="F13" t="n">
        <v>558719.9</v>
      </c>
      <c r="G13" t="n">
        <v>5</v>
      </c>
      <c r="H13" t="n">
        <v>187.55</v>
      </c>
      <c r="I13" t="n">
        <v>76.59</v>
      </c>
    </row>
    <row r="14">
      <c r="A14">
        <f>HYPERLINK("https://www.tradingview.com/chart/?symbol=NSE:PICCADIL","PICCADIL")</f>
        <v/>
      </c>
      <c r="B14" t="n">
        <v>692.4</v>
      </c>
      <c r="C14" t="n">
        <v>3217206</v>
      </c>
      <c r="D14" t="n">
        <v>1090288</v>
      </c>
      <c r="E14" t="n">
        <v>33.89</v>
      </c>
      <c r="F14" t="n">
        <v>151266.7666666667</v>
      </c>
      <c r="G14" t="n">
        <v>7.21</v>
      </c>
      <c r="H14" t="n">
        <v>222.76</v>
      </c>
      <c r="I14" t="n">
        <v>75.48999999999999</v>
      </c>
    </row>
    <row r="15">
      <c r="A15">
        <f>HYPERLINK("https://www.tradingview.com/chart/?symbol=NSE:KPIL","KPIL")</f>
        <v/>
      </c>
      <c r="B15" t="n">
        <v>1396.8</v>
      </c>
      <c r="C15" t="n">
        <v>3715117</v>
      </c>
      <c r="D15" t="n">
        <v>487318</v>
      </c>
      <c r="E15" t="n">
        <v>13.12</v>
      </c>
      <c r="F15" t="n">
        <v>74254.5</v>
      </c>
      <c r="G15" t="n">
        <v>6.56</v>
      </c>
      <c r="H15" t="n">
        <v>518.9299999999999</v>
      </c>
      <c r="I15" t="n">
        <v>68.06999999999999</v>
      </c>
    </row>
    <row r="16">
      <c r="A16">
        <f>HYPERLINK("https://www.tradingview.com/chart/?symbol=NSE:SUMEETINDS","SUMEETINDS")</f>
        <v/>
      </c>
      <c r="B16" t="n">
        <v>14.82</v>
      </c>
      <c r="C16" t="n">
        <v>56881355</v>
      </c>
      <c r="D16" t="n">
        <v>38668498</v>
      </c>
      <c r="E16" t="n">
        <v>67.98</v>
      </c>
      <c r="F16" t="n">
        <v>358479.3333333333</v>
      </c>
      <c r="G16" t="n">
        <v>107.87</v>
      </c>
      <c r="H16" t="n">
        <v>84.3</v>
      </c>
      <c r="I16" t="n">
        <v>57.31</v>
      </c>
    </row>
    <row r="17">
      <c r="A17">
        <f>HYPERLINK("https://www.tradingview.com/chart/?symbol=NSE:DIVGIITTS","DIVGIITTS")</f>
        <v/>
      </c>
      <c r="B17" t="n">
        <v>1231.95</v>
      </c>
      <c r="C17" t="n">
        <v>2717226</v>
      </c>
      <c r="D17" t="n">
        <v>461724</v>
      </c>
      <c r="E17" t="n">
        <v>16.99</v>
      </c>
      <c r="F17" t="n">
        <v>38439.43333333333</v>
      </c>
      <c r="G17" t="n">
        <v>12.01</v>
      </c>
      <c r="H17" t="n">
        <v>334.75</v>
      </c>
      <c r="I17" t="n">
        <v>56.88</v>
      </c>
    </row>
    <row r="18">
      <c r="A18">
        <f>HYPERLINK("https://www.tradingview.com/chart/?symbol=NSE:BATAINDIA","BATAINDIA")</f>
        <v/>
      </c>
      <c r="B18" t="n">
        <v>715.15</v>
      </c>
      <c r="C18" t="n">
        <v>3783994</v>
      </c>
      <c r="D18" t="n">
        <v>710570</v>
      </c>
      <c r="E18" t="n">
        <v>18.78</v>
      </c>
      <c r="F18" t="n">
        <v>135667.2666666667</v>
      </c>
      <c r="G18" t="n">
        <v>5.24</v>
      </c>
      <c r="H18" t="n">
        <v>270.61</v>
      </c>
      <c r="I18" t="n">
        <v>50.82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2026-08-12T19:42:50Z</dcterms:created>
  <dcterms:modified xsi:type="dcterms:W3CDTF">2026-08-12T19:42:50Z</dcterms:modified>
</cp:coreProperties>
</file>