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HYPERLINK("https://www.tradingview.com/chart/?symbol=NSE:AAVAS","AAVAS")</f>
        <v/>
      </c>
      <c r="B2" t="n">
        <v>663315</v>
      </c>
      <c r="C2" t="n">
        <v>71082.27586206897</v>
      </c>
      <c r="D2" t="n">
        <v>9.33</v>
      </c>
    </row>
    <row r="3">
      <c r="A3">
        <f>HYPERLINK("https://www.tradingview.com/chart/?symbol=NSE:AEGISLOG","AEGISLOG")</f>
        <v/>
      </c>
      <c r="B3" t="n">
        <v>2197741</v>
      </c>
      <c r="C3" t="n">
        <v>278245.8275862069</v>
      </c>
      <c r="D3" t="n">
        <v>7.9</v>
      </c>
    </row>
    <row r="4">
      <c r="A4">
        <f>HYPERLINK("https://www.tradingview.com/chart/?symbol=NSE:DOMS","DOMS")</f>
        <v/>
      </c>
      <c r="B4" t="n">
        <v>138454</v>
      </c>
      <c r="C4" t="n">
        <v>19856.51724137931</v>
      </c>
      <c r="D4" t="n">
        <v>6.97</v>
      </c>
    </row>
    <row r="5">
      <c r="A5">
        <f>HYPERLINK("https://www.tradingview.com/chart/?symbol=NSE:PETRONET","PETRONET")</f>
        <v/>
      </c>
      <c r="B5" t="n">
        <v>8568919</v>
      </c>
      <c r="C5" t="n">
        <v>1730501.75862069</v>
      </c>
      <c r="D5" t="n">
        <v>4.95</v>
      </c>
    </row>
    <row r="6">
      <c r="A6">
        <f>HYPERLINK("https://www.tradingview.com/chart/?symbol=NSE:BLUEJET","BLUEJET")</f>
        <v/>
      </c>
      <c r="B6" t="n">
        <v>942474</v>
      </c>
      <c r="C6" t="n">
        <v>233357.6206896552</v>
      </c>
      <c r="D6" t="n">
        <v>4.04</v>
      </c>
    </row>
    <row r="7">
      <c r="A7">
        <f>HYPERLINK("https://www.tradingview.com/chart/?symbol=NSE:DEVYANI","DEVYANI")</f>
        <v/>
      </c>
      <c r="B7" t="n">
        <v>3106646</v>
      </c>
      <c r="C7" t="n">
        <v>826755.6551724138</v>
      </c>
      <c r="D7" t="n">
        <v>3.76</v>
      </c>
    </row>
    <row r="8">
      <c r="A8">
        <f>HYPERLINK("https://www.tradingview.com/chart/?symbol=NSE:GLAND","GLAND")</f>
        <v/>
      </c>
      <c r="B8" t="n">
        <v>956196</v>
      </c>
      <c r="C8" t="n">
        <v>258062</v>
      </c>
      <c r="D8" t="n">
        <v>3.71</v>
      </c>
    </row>
    <row r="9">
      <c r="A9">
        <f>HYPERLINK("https://www.tradingview.com/chart/?symbol=NSE:VMM","VMM")</f>
        <v/>
      </c>
      <c r="B9" t="n">
        <v>15408971</v>
      </c>
      <c r="C9" t="n">
        <v>4535435.689655173</v>
      </c>
      <c r="D9" t="n">
        <v>3.4</v>
      </c>
    </row>
    <row r="10">
      <c r="A10">
        <f>HYPERLINK("https://www.tradingview.com/chart/?symbol=NSE:HONASA","HONASA")</f>
        <v/>
      </c>
      <c r="B10" t="n">
        <v>2679643</v>
      </c>
      <c r="C10" t="n">
        <v>797795.275862069</v>
      </c>
      <c r="D10" t="n">
        <v>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2026-06-12T20:39:25Z</dcterms:created>
  <dcterms:modified xsi:type="dcterms:W3CDTF">2026-06-12T20:39:25Z</dcterms:modified>
</cp:coreProperties>
</file>