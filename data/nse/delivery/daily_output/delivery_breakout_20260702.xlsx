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2" customWidth="1" min="3" max="3"/>
    <col width="19" customWidth="1" min="4" max="4"/>
  </cols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DELIVERY_RATIO</t>
        </is>
      </c>
    </row>
    <row r="2">
      <c r="A2">
        <f>HYPERLINK("https://www.tradingview.com/chart/?symbol=NSE:TBOTEK","TBOTEK")</f>
        <v/>
      </c>
      <c r="B2" t="n">
        <v>1275684</v>
      </c>
      <c r="C2" t="n">
        <v>67389.44827586207</v>
      </c>
      <c r="D2" t="n">
        <v>18.93</v>
      </c>
    </row>
    <row r="3">
      <c r="A3">
        <f>HYPERLINK("https://www.tradingview.com/chart/?symbol=NSE:RHIM","RHIM")</f>
        <v/>
      </c>
      <c r="B3" t="n">
        <v>2709425</v>
      </c>
      <c r="C3" t="n">
        <v>270610.8620689655</v>
      </c>
      <c r="D3" t="n">
        <v>10.01</v>
      </c>
    </row>
    <row r="4">
      <c r="A4">
        <f>HYPERLINK("https://www.tradingview.com/chart/?symbol=NSE:ZENSARTECH","ZENSARTECH")</f>
        <v/>
      </c>
      <c r="B4" t="n">
        <v>2021836</v>
      </c>
      <c r="C4" t="n">
        <v>282248.5517241379</v>
      </c>
      <c r="D4" t="n">
        <v>7.16</v>
      </c>
    </row>
    <row r="5">
      <c r="A5">
        <f>HYPERLINK("https://www.tradingview.com/chart/?symbol=NSE:BSOFT","BSOFT")</f>
        <v/>
      </c>
      <c r="B5" t="n">
        <v>3253223</v>
      </c>
      <c r="C5" t="n">
        <v>526144.4137931034</v>
      </c>
      <c r="D5" t="n">
        <v>6.18</v>
      </c>
    </row>
    <row r="6">
      <c r="A6">
        <f>HYPERLINK("https://www.tradingview.com/chart/?symbol=NSE:AWL","AWL")</f>
        <v/>
      </c>
      <c r="B6" t="n">
        <v>7770890</v>
      </c>
      <c r="C6" t="n">
        <v>1600558.931034483</v>
      </c>
      <c r="D6" t="n">
        <v>4.86</v>
      </c>
    </row>
    <row r="7">
      <c r="A7">
        <f>HYPERLINK("https://www.tradingview.com/chart/?symbol=NSE:PHOENIXLTD","PHOENIXLTD")</f>
        <v/>
      </c>
      <c r="B7" t="n">
        <v>1250229</v>
      </c>
      <c r="C7" t="n">
        <v>276610.5862068966</v>
      </c>
      <c r="D7" t="n">
        <v>4.52</v>
      </c>
    </row>
    <row r="8">
      <c r="A8">
        <f>HYPERLINK("https://www.tradingview.com/chart/?symbol=NSE:IKS","IKS")</f>
        <v/>
      </c>
      <c r="B8" t="n">
        <v>375269</v>
      </c>
      <c r="C8" t="n">
        <v>84086.1724137931</v>
      </c>
      <c r="D8" t="n">
        <v>4.46</v>
      </c>
    </row>
    <row r="9">
      <c r="A9">
        <f>HYPERLINK("https://www.tradingview.com/chart/?symbol=NSE:SONATSOFTW","SONATSOFTW")</f>
        <v/>
      </c>
      <c r="B9" t="n">
        <v>2124742</v>
      </c>
      <c r="C9" t="n">
        <v>488003</v>
      </c>
      <c r="D9" t="n">
        <v>4.35</v>
      </c>
    </row>
    <row r="10">
      <c r="A10">
        <f>HYPERLINK("https://www.tradingview.com/chart/?symbol=NSE:ZYDUSWELL","ZYDUSWELL")</f>
        <v/>
      </c>
      <c r="B10" t="n">
        <v>850737</v>
      </c>
      <c r="C10" t="n">
        <v>203121.275862069</v>
      </c>
      <c r="D10" t="n">
        <v>4.19</v>
      </c>
    </row>
    <row r="11">
      <c r="A11">
        <f>HYPERLINK("https://www.tradingview.com/chart/?symbol=NSE:CANHLIFE","CANHLIFE")</f>
        <v/>
      </c>
      <c r="B11" t="n">
        <v>1114806</v>
      </c>
      <c r="C11" t="n">
        <v>305001.275862069</v>
      </c>
      <c r="D11" t="n">
        <v>3.66</v>
      </c>
    </row>
    <row r="12">
      <c r="A12">
        <f>HYPERLINK("https://www.tradingview.com/chart/?symbol=NSE:EXIDEIND","EXIDEIND")</f>
        <v/>
      </c>
      <c r="B12" t="n">
        <v>5059343</v>
      </c>
      <c r="C12" t="n">
        <v>1388174.689655172</v>
      </c>
      <c r="D12" t="n">
        <v>3.64</v>
      </c>
    </row>
    <row r="13">
      <c r="A13">
        <f>HYPERLINK("https://www.tradingview.com/chart/?symbol=NSE:MAPMYINDIA","MAPMYINDIA")</f>
        <v/>
      </c>
      <c r="B13" t="n">
        <v>464430</v>
      </c>
      <c r="C13" t="n">
        <v>130031.1724137931</v>
      </c>
      <c r="D13" t="n">
        <v>3.57</v>
      </c>
    </row>
    <row r="14">
      <c r="A14">
        <f>HYPERLINK("https://www.tradingview.com/chart/?symbol=NSE:ABFRL","ABFRL")</f>
        <v/>
      </c>
      <c r="B14" t="n">
        <v>8595604</v>
      </c>
      <c r="C14" t="n">
        <v>2445837.275862069</v>
      </c>
      <c r="D14" t="n">
        <v>3.51</v>
      </c>
    </row>
    <row r="15">
      <c r="A15">
        <f>HYPERLINK("https://www.tradingview.com/chart/?symbol=NSE:FIRSTCRY","FIRSTCRY")</f>
        <v/>
      </c>
      <c r="B15" t="n">
        <v>2728185</v>
      </c>
      <c r="C15" t="n">
        <v>823501.0689655172</v>
      </c>
      <c r="D15" t="n">
        <v>3.31</v>
      </c>
    </row>
    <row r="16">
      <c r="A16">
        <f>HYPERLINK("https://www.tradingview.com/chart/?symbol=NSE:RITES","RITES")</f>
        <v/>
      </c>
      <c r="B16" t="n">
        <v>1004338</v>
      </c>
      <c r="C16" t="n">
        <v>308852.8620689655</v>
      </c>
      <c r="D16" t="n">
        <v>3.25</v>
      </c>
    </row>
    <row r="17">
      <c r="A17">
        <f>HYPERLINK("https://www.tradingview.com/chart/?symbol=NSE:LATENTVIEW","LATENTVIEW")</f>
        <v/>
      </c>
      <c r="B17" t="n">
        <v>1190514</v>
      </c>
      <c r="C17" t="n">
        <v>367358.3793103448</v>
      </c>
      <c r="D17" t="n">
        <v>3.24</v>
      </c>
    </row>
    <row r="18">
      <c r="A18">
        <f>HYPERLINK("https://www.tradingview.com/chart/?symbol=NSE:DELHIVERY","DELHIVERY")</f>
        <v/>
      </c>
      <c r="B18" t="n">
        <v>6157920</v>
      </c>
      <c r="C18" t="n">
        <v>1911562.965517241</v>
      </c>
      <c r="D18" t="n">
        <v>3.22</v>
      </c>
    </row>
    <row r="19">
      <c r="A19">
        <f>HYPERLINK("https://www.tradingview.com/chart/?symbol=NSE:CEATLTD","CEATLTD")</f>
        <v/>
      </c>
      <c r="B19" t="n">
        <v>188325</v>
      </c>
      <c r="C19" t="n">
        <v>60466.55172413793</v>
      </c>
      <c r="D19" t="n">
        <v>3.11</v>
      </c>
    </row>
    <row r="20">
      <c r="A20">
        <f>HYPERLINK("https://www.tradingview.com/chart/?symbol=NSE:OBEROIRLTY","OBEROIRLTY")</f>
        <v/>
      </c>
      <c r="B20" t="n">
        <v>753551</v>
      </c>
      <c r="C20" t="n">
        <v>243907.6896551724</v>
      </c>
      <c r="D20" t="n">
        <v>3.09</v>
      </c>
    </row>
    <row r="21">
      <c r="A21">
        <f>HYPERLINK("https://www.tradingview.com/chart/?symbol=NSE:SAGILITY","SAGILITY")</f>
        <v/>
      </c>
      <c r="B21" t="n">
        <v>21444521</v>
      </c>
      <c r="C21" t="n">
        <v>7014487.034482758</v>
      </c>
      <c r="D21" t="n">
        <v>3.06</v>
      </c>
    </row>
    <row r="22">
      <c r="A22">
        <f>HYPERLINK("https://www.tradingview.com/chart/?symbol=NSE:KPITTECH","KPITTECH")</f>
        <v/>
      </c>
      <c r="B22" t="n">
        <v>2131979</v>
      </c>
      <c r="C22" t="n">
        <v>702536.7586206896</v>
      </c>
      <c r="D22" t="n">
        <v>3.03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2026-07-03T20:01:03Z</dcterms:created>
  <dcterms:modified xsi:type="dcterms:W3CDTF">2026-07-03T20:01:03Z</dcterms:modified>
</cp:coreProperties>
</file>