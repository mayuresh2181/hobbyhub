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HYPERLINK("https://www.tradingview.com/chart/?symbol=NSE:SWIGGY","SWIGGY")</f>
        <v/>
      </c>
      <c r="B2" t="n">
        <v>276.1</v>
      </c>
      <c r="C2" t="n">
        <v>184369387</v>
      </c>
      <c r="D2" t="n">
        <v>148767707</v>
      </c>
      <c r="E2" t="n">
        <v>80.69</v>
      </c>
      <c r="F2" t="n">
        <v>8062441.833333333</v>
      </c>
      <c r="G2" t="n">
        <v>18.45</v>
      </c>
      <c r="H2" t="n">
        <v>5090.44</v>
      </c>
      <c r="I2" t="n">
        <v>4107.48</v>
      </c>
    </row>
    <row r="3">
      <c r="A3">
        <f>HYPERLINK("https://www.tradingview.com/chart/?symbol=NSE:KEI","KEI")</f>
        <v/>
      </c>
      <c r="B3" t="n">
        <v>4850</v>
      </c>
      <c r="C3" t="n">
        <v>2381568</v>
      </c>
      <c r="D3" t="n">
        <v>995015</v>
      </c>
      <c r="E3" t="n">
        <v>41.78</v>
      </c>
      <c r="F3" t="n">
        <v>187994.4666666667</v>
      </c>
      <c r="G3" t="n">
        <v>5.29</v>
      </c>
      <c r="H3" t="n">
        <v>1155.06</v>
      </c>
      <c r="I3" t="n">
        <v>482.58</v>
      </c>
    </row>
    <row r="4">
      <c r="A4">
        <f>HYPERLINK("https://www.tradingview.com/chart/?symbol=NSE:TEJASNET","TEJASNET")</f>
        <v/>
      </c>
      <c r="B4" t="n">
        <v>614.15</v>
      </c>
      <c r="C4" t="n">
        <v>26085952</v>
      </c>
      <c r="D4" t="n">
        <v>3265470</v>
      </c>
      <c r="E4" t="n">
        <v>12.52</v>
      </c>
      <c r="F4" t="n">
        <v>530185.5666666667</v>
      </c>
      <c r="G4" t="n">
        <v>6.16</v>
      </c>
      <c r="H4" t="n">
        <v>1602.07</v>
      </c>
      <c r="I4" t="n">
        <v>200.55</v>
      </c>
    </row>
    <row r="5">
      <c r="A5">
        <f>HYPERLINK("https://www.tradingview.com/chart/?symbol=NSE:PWL","PWL")</f>
        <v/>
      </c>
      <c r="B5" t="n">
        <v>126.42</v>
      </c>
      <c r="C5" t="n">
        <v>62160413</v>
      </c>
      <c r="D5" t="n">
        <v>13985728</v>
      </c>
      <c r="E5" t="n">
        <v>22.5</v>
      </c>
      <c r="F5" t="n">
        <v>2664959.066666667</v>
      </c>
      <c r="G5" t="n">
        <v>5.25</v>
      </c>
      <c r="H5" t="n">
        <v>785.83</v>
      </c>
      <c r="I5" t="n">
        <v>176.81</v>
      </c>
    </row>
    <row r="6">
      <c r="A6">
        <f>HYPERLINK("https://www.tradingview.com/chart/?symbol=NSE:NIACL","NIACL")</f>
        <v/>
      </c>
      <c r="B6" t="n">
        <v>229.91</v>
      </c>
      <c r="C6" t="n">
        <v>66928665</v>
      </c>
      <c r="D6" t="n">
        <v>7439732</v>
      </c>
      <c r="E6" t="n">
        <v>11.12</v>
      </c>
      <c r="F6" t="n">
        <v>571889.9333333333</v>
      </c>
      <c r="G6" t="n">
        <v>13.01</v>
      </c>
      <c r="H6" t="n">
        <v>1538.76</v>
      </c>
      <c r="I6" t="n">
        <v>171.05</v>
      </c>
    </row>
    <row r="7">
      <c r="A7">
        <f>HYPERLINK("https://www.tradingview.com/chart/?symbol=NSE:JAYNECOIND","JAYNECOIND")</f>
        <v/>
      </c>
      <c r="B7" t="n">
        <v>89.04000000000001</v>
      </c>
      <c r="C7" t="n">
        <v>49840056</v>
      </c>
      <c r="D7" t="n">
        <v>17721628</v>
      </c>
      <c r="E7" t="n">
        <v>35.56</v>
      </c>
      <c r="F7" t="n">
        <v>1862079.266666667</v>
      </c>
      <c r="G7" t="n">
        <v>9.52</v>
      </c>
      <c r="H7" t="n">
        <v>443.78</v>
      </c>
      <c r="I7" t="n">
        <v>157.79</v>
      </c>
    </row>
    <row r="8">
      <c r="A8">
        <f>HYPERLINK("https://www.tradingview.com/chart/?symbol=NSE:SKIPPER","SKIPPER")</f>
        <v/>
      </c>
      <c r="B8" t="n">
        <v>591.1</v>
      </c>
      <c r="C8" t="n">
        <v>10118419</v>
      </c>
      <c r="D8" t="n">
        <v>2025158</v>
      </c>
      <c r="E8" t="n">
        <v>20.01</v>
      </c>
      <c r="F8" t="n">
        <v>312892.9333333333</v>
      </c>
      <c r="G8" t="n">
        <v>6.47</v>
      </c>
      <c r="H8" t="n">
        <v>598.1</v>
      </c>
      <c r="I8" t="n">
        <v>119.71</v>
      </c>
    </row>
    <row r="9">
      <c r="A9">
        <f>HYPERLINK("https://www.tradingview.com/chart/?symbol=NSE:JINDWORLD","JINDWORLD")</f>
        <v/>
      </c>
      <c r="B9" t="n">
        <v>57.51</v>
      </c>
      <c r="C9" t="n">
        <v>188275533</v>
      </c>
      <c r="D9" t="n">
        <v>17063197</v>
      </c>
      <c r="E9" t="n">
        <v>9.06</v>
      </c>
      <c r="F9" t="n">
        <v>1982403.966666667</v>
      </c>
      <c r="G9" t="n">
        <v>8.609999999999999</v>
      </c>
      <c r="H9" t="n">
        <v>1082.77</v>
      </c>
      <c r="I9" t="n">
        <v>98.13</v>
      </c>
    </row>
    <row r="10">
      <c r="A10">
        <f>HYPERLINK("https://www.tradingview.com/chart/?symbol=NSE:CRISIL","CRISIL")</f>
        <v/>
      </c>
      <c r="B10" t="n">
        <v>4802</v>
      </c>
      <c r="C10" t="n">
        <v>184833</v>
      </c>
      <c r="D10" t="n">
        <v>149461</v>
      </c>
      <c r="E10" t="n">
        <v>80.86</v>
      </c>
      <c r="F10" t="n">
        <v>26727</v>
      </c>
      <c r="G10" t="n">
        <v>5.59</v>
      </c>
      <c r="H10" t="n">
        <v>88.76000000000001</v>
      </c>
      <c r="I10" t="n">
        <v>71.77</v>
      </c>
    </row>
    <row r="11">
      <c r="A11">
        <f>HYPERLINK("https://www.tradingview.com/chart/?symbol=NSE:TITAGARH","TITAGARH")</f>
        <v/>
      </c>
      <c r="B11" t="n">
        <v>871.85</v>
      </c>
      <c r="C11" t="n">
        <v>3001183</v>
      </c>
      <c r="D11" t="n">
        <v>795372</v>
      </c>
      <c r="E11" t="n">
        <v>26.5</v>
      </c>
      <c r="F11" t="n">
        <v>134802.4333333333</v>
      </c>
      <c r="G11" t="n">
        <v>5.9</v>
      </c>
      <c r="H11" t="n">
        <v>261.66</v>
      </c>
      <c r="I11" t="n">
        <v>69.34</v>
      </c>
    </row>
    <row r="12">
      <c r="A12">
        <f>HYPERLINK("https://www.tradingview.com/chart/?symbol=NSE:CARERATING","CARERATING")</f>
        <v/>
      </c>
      <c r="B12" t="n">
        <v>1738.2</v>
      </c>
      <c r="C12" t="n">
        <v>354155</v>
      </c>
      <c r="D12" t="n">
        <v>312261</v>
      </c>
      <c r="E12" t="n">
        <v>88.17</v>
      </c>
      <c r="F12" t="n">
        <v>30236.8</v>
      </c>
      <c r="G12" t="n">
        <v>10.33</v>
      </c>
      <c r="H12" t="n">
        <v>61.56</v>
      </c>
      <c r="I12" t="n">
        <v>54.28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2026-09-04T21:00:19Z</dcterms:created>
  <dcterms:modified xsi:type="dcterms:W3CDTF">2026-09-04T21:00:19Z</dcterms:modified>
</cp:coreProperties>
</file>