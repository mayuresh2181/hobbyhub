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HYPERLINK("https://www.tradingview.com/chart/?symbol=NSE:PARADEEP","PARADEEP")</f>
        <v/>
      </c>
      <c r="B2" t="n">
        <v>156.54</v>
      </c>
      <c r="C2" t="n">
        <v>173193514</v>
      </c>
      <c r="D2" t="n">
        <v>12599526</v>
      </c>
      <c r="E2" t="n">
        <v>7.27</v>
      </c>
      <c r="F2" t="n">
        <v>1552382.866666667</v>
      </c>
      <c r="G2" t="n">
        <v>8.119999999999999</v>
      </c>
      <c r="H2" t="n">
        <v>2711.17</v>
      </c>
      <c r="I2" t="n">
        <v>197.23</v>
      </c>
    </row>
    <row r="3">
      <c r="A3">
        <f>HYPERLINK("https://www.tradingview.com/chart/?symbol=NSE:J&amp;KBANK","J&amp;KBANK")</f>
        <v/>
      </c>
      <c r="B3" t="n">
        <v>154.63</v>
      </c>
      <c r="C3" t="n">
        <v>36982212</v>
      </c>
      <c r="D3" t="n">
        <v>11295161</v>
      </c>
      <c r="E3" t="n">
        <v>30.54</v>
      </c>
      <c r="F3" t="n">
        <v>2147052.066666667</v>
      </c>
      <c r="G3" t="n">
        <v>5.26</v>
      </c>
      <c r="H3" t="n">
        <v>571.86</v>
      </c>
      <c r="I3" t="n">
        <v>174.66</v>
      </c>
    </row>
    <row r="4">
      <c r="A4">
        <f>HYPERLINK("https://www.tradingview.com/chart/?symbol=NSE:PCBL","PCBL")</f>
        <v/>
      </c>
      <c r="B4" t="n">
        <v>365.7</v>
      </c>
      <c r="C4" t="n">
        <v>26955359</v>
      </c>
      <c r="D4" t="n">
        <v>4022486</v>
      </c>
      <c r="E4" t="n">
        <v>14.92</v>
      </c>
      <c r="F4" t="n">
        <v>472701.0666666667</v>
      </c>
      <c r="G4" t="n">
        <v>8.51</v>
      </c>
      <c r="H4" t="n">
        <v>985.76</v>
      </c>
      <c r="I4" t="n">
        <v>147.1</v>
      </c>
    </row>
    <row r="5">
      <c r="A5">
        <f>HYPERLINK("https://www.tradingview.com/chart/?symbol=NSE:TIL","TIL")</f>
        <v/>
      </c>
      <c r="B5" t="n">
        <v>262.48</v>
      </c>
      <c r="C5" t="n">
        <v>38163735</v>
      </c>
      <c r="D5" t="n">
        <v>3933736</v>
      </c>
      <c r="E5" t="n">
        <v>10.31</v>
      </c>
      <c r="F5" t="n">
        <v>88563.89999999999</v>
      </c>
      <c r="G5" t="n">
        <v>44.42</v>
      </c>
      <c r="H5" t="n">
        <v>1001.72</v>
      </c>
      <c r="I5" t="n">
        <v>103.25</v>
      </c>
    </row>
    <row r="6">
      <c r="A6">
        <f>HYPERLINK("https://www.tradingview.com/chart/?symbol=NSE:FSL","FSL")</f>
        <v/>
      </c>
      <c r="B6" t="n">
        <v>293.58</v>
      </c>
      <c r="C6" t="n">
        <v>49403727</v>
      </c>
      <c r="D6" t="n">
        <v>3444295</v>
      </c>
      <c r="E6" t="n">
        <v>6.97</v>
      </c>
      <c r="F6" t="n">
        <v>446942.9333333333</v>
      </c>
      <c r="G6" t="n">
        <v>7.71</v>
      </c>
      <c r="H6" t="n">
        <v>1450.39</v>
      </c>
      <c r="I6" t="n">
        <v>101.12</v>
      </c>
    </row>
    <row r="7">
      <c r="A7">
        <f>HYPERLINK("https://www.tradingview.com/chart/?symbol=NSE:SMLMAH","SMLMAH")</f>
        <v/>
      </c>
      <c r="B7" t="n">
        <v>4566</v>
      </c>
      <c r="C7" t="n">
        <v>475660</v>
      </c>
      <c r="D7" t="n">
        <v>200989</v>
      </c>
      <c r="E7" t="n">
        <v>42.25</v>
      </c>
      <c r="F7" t="n">
        <v>35287.4</v>
      </c>
      <c r="G7" t="n">
        <v>5.7</v>
      </c>
      <c r="H7" t="n">
        <v>217.19</v>
      </c>
      <c r="I7" t="n">
        <v>91.77</v>
      </c>
    </row>
    <row r="8">
      <c r="A8">
        <f>HYPERLINK("https://www.tradingview.com/chart/?symbol=NSE:VGUARD","VGUARD")</f>
        <v/>
      </c>
      <c r="B8" t="n">
        <v>301.95</v>
      </c>
      <c r="C8" t="n">
        <v>8673721</v>
      </c>
      <c r="D8" t="n">
        <v>2540231</v>
      </c>
      <c r="E8" t="n">
        <v>29.29</v>
      </c>
      <c r="F8" t="n">
        <v>113140.8</v>
      </c>
      <c r="G8" t="n">
        <v>22.45</v>
      </c>
      <c r="H8" t="n">
        <v>261.9</v>
      </c>
      <c r="I8" t="n">
        <v>76.7</v>
      </c>
    </row>
    <row r="9">
      <c r="A9">
        <f>HYPERLINK("https://www.tradingview.com/chart/?symbol=NSE:APCOTEXIND","APCOTEXIND")</f>
        <v/>
      </c>
      <c r="B9" t="n">
        <v>681.6</v>
      </c>
      <c r="C9" t="n">
        <v>5645793</v>
      </c>
      <c r="D9" t="n">
        <v>1009782</v>
      </c>
      <c r="E9" t="n">
        <v>17.89</v>
      </c>
      <c r="F9" t="n">
        <v>54612.46666666667</v>
      </c>
      <c r="G9" t="n">
        <v>18.49</v>
      </c>
      <c r="H9" t="n">
        <v>384.82</v>
      </c>
      <c r="I9" t="n">
        <v>68.83</v>
      </c>
    </row>
    <row r="10">
      <c r="A10">
        <f>HYPERLINK("https://www.tradingview.com/chart/?symbol=NSE:LXCHEM","LXCHEM")</f>
        <v/>
      </c>
      <c r="B10" t="n">
        <v>200.51</v>
      </c>
      <c r="C10" t="n">
        <v>6271732</v>
      </c>
      <c r="D10" t="n">
        <v>3052830</v>
      </c>
      <c r="E10" t="n">
        <v>48.68</v>
      </c>
      <c r="F10" t="n">
        <v>543720.8333333334</v>
      </c>
      <c r="G10" t="n">
        <v>5.61</v>
      </c>
      <c r="H10" t="n">
        <v>125.75</v>
      </c>
      <c r="I10" t="n">
        <v>61.21</v>
      </c>
    </row>
    <row r="11">
      <c r="A11">
        <f>HYPERLINK("https://www.tradingview.com/chart/?symbol=NSE:TI","TI")</f>
        <v/>
      </c>
      <c r="B11" t="n">
        <v>465.4</v>
      </c>
      <c r="C11" t="n">
        <v>2469337</v>
      </c>
      <c r="D11" t="n">
        <v>1095482</v>
      </c>
      <c r="E11" t="n">
        <v>44.36</v>
      </c>
      <c r="F11" t="n">
        <v>207164.5</v>
      </c>
      <c r="G11" t="n">
        <v>5.29</v>
      </c>
      <c r="H11" t="n">
        <v>114.92</v>
      </c>
      <c r="I11" t="n">
        <v>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2026-07-29T14:27:04Z</dcterms:created>
  <dcterms:modified xsi:type="dcterms:W3CDTF">2026-07-29T14:27:04Z</dcterms:modified>
</cp:coreProperties>
</file>