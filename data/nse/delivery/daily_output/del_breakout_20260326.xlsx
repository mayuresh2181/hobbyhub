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HYPERLINK("https://www.tradingview.com/chart/?symbol=NSE:METROPOLIS", "METROPOLIS")</f>
        <v/>
      </c>
      <c r="B2" t="n">
        <v>479369</v>
      </c>
      <c r="C2" t="n">
        <v>62717.5</v>
      </c>
      <c r="D2" t="n">
        <v>7.64</v>
      </c>
    </row>
    <row r="3">
      <c r="A3">
        <f>HYPERLINK("https://www.tradingview.com/chart/?symbol=NSE:LODHA", "LODHA")</f>
        <v/>
      </c>
      <c r="B3" t="n">
        <v>8690656</v>
      </c>
      <c r="C3" t="n">
        <v>1531695.333333333</v>
      </c>
      <c r="D3" t="n">
        <v>5.67</v>
      </c>
    </row>
    <row r="4">
      <c r="A4">
        <f>HYPERLINK("https://www.tradingview.com/chart/?symbol=NSE:APLLTD", "APLLTD")</f>
        <v/>
      </c>
      <c r="B4" t="n">
        <v>206800</v>
      </c>
      <c r="C4" t="n">
        <v>40566.03333333333</v>
      </c>
      <c r="D4" t="n">
        <v>5.1</v>
      </c>
    </row>
    <row r="5">
      <c r="A5">
        <f>HYPERLINK("https://www.tradingview.com/chart/?symbol=NSE:TRIVENI", "TRIVENI")</f>
        <v/>
      </c>
      <c r="B5" t="n">
        <v>1065040</v>
      </c>
      <c r="C5" t="n">
        <v>214915.6666666667</v>
      </c>
      <c r="D5" t="n">
        <v>4.96</v>
      </c>
    </row>
    <row r="6">
      <c r="A6">
        <f>HYPERLINK("https://www.tradingview.com/chart/?symbol=NSE:PCBL", "PCBL")</f>
        <v/>
      </c>
      <c r="B6" t="n">
        <v>2887441</v>
      </c>
      <c r="C6" t="n">
        <v>592616.7333333333</v>
      </c>
      <c r="D6" t="n">
        <v>4.87</v>
      </c>
    </row>
    <row r="7">
      <c r="A7">
        <f>HYPERLINK("https://www.tradingview.com/chart/?symbol=NSE:TBOTEK", "TBOTEK")</f>
        <v/>
      </c>
      <c r="B7" t="n">
        <v>376837</v>
      </c>
      <c r="C7" t="n">
        <v>85821.23333333334</v>
      </c>
      <c r="D7" t="n">
        <v>4.39</v>
      </c>
    </row>
    <row r="8">
      <c r="A8">
        <f>HYPERLINK("https://www.tradingview.com/chart/?symbol=NSE:SAMMAANCAP", "SAMMAANCAP")</f>
        <v/>
      </c>
      <c r="B8" t="n">
        <v>23748737</v>
      </c>
      <c r="C8" t="n">
        <v>5768084.033333333</v>
      </c>
      <c r="D8" t="n">
        <v>4.12</v>
      </c>
    </row>
    <row r="9">
      <c r="A9">
        <f>HYPERLINK("https://www.tradingview.com/chart/?symbol=NSE:DEEPAKNTR", "DEEPAKNTR")</f>
        <v/>
      </c>
      <c r="B9" t="n">
        <v>289387</v>
      </c>
      <c r="C9" t="n">
        <v>70468.56666666667</v>
      </c>
      <c r="D9" t="n">
        <v>4.11</v>
      </c>
    </row>
    <row r="10">
      <c r="A10">
        <f>HYPERLINK("https://www.tradingview.com/chart/?symbol=NSE:DEEPAKFERT", "DEEPAKFERT")</f>
        <v/>
      </c>
      <c r="B10" t="n">
        <v>508400</v>
      </c>
      <c r="C10" t="n">
        <v>129460.3</v>
      </c>
      <c r="D10" t="n">
        <v>3.93</v>
      </c>
    </row>
    <row r="11">
      <c r="A11">
        <f>HYPERLINK("https://www.tradingview.com/chart/?symbol=NSE:APTUS", "APTUS")</f>
        <v/>
      </c>
      <c r="B11" t="n">
        <v>5300935</v>
      </c>
      <c r="C11" t="n">
        <v>1352370.133333333</v>
      </c>
      <c r="D11" t="n">
        <v>3.92</v>
      </c>
    </row>
    <row r="12">
      <c r="A12">
        <f>HYPERLINK("https://www.tradingview.com/chart/?symbol=NSE:IPCALAB", "IPCALAB")</f>
        <v/>
      </c>
      <c r="B12" t="n">
        <v>537166</v>
      </c>
      <c r="C12" t="n">
        <v>139962.0333333333</v>
      </c>
      <c r="D12" t="n">
        <v>3.84</v>
      </c>
    </row>
    <row r="13">
      <c r="A13">
        <f>HYPERLINK("https://www.tradingview.com/chart/?symbol=NSE:THELEELA", "THELEELA")</f>
        <v/>
      </c>
      <c r="B13" t="n">
        <v>630159</v>
      </c>
      <c r="C13" t="n">
        <v>163992.6</v>
      </c>
      <c r="D13" t="n">
        <v>3.84</v>
      </c>
    </row>
    <row r="14">
      <c r="A14">
        <f>HYPERLINK("https://www.tradingview.com/chart/?symbol=NSE:SHYAMMETL", "SHYAMMETL")</f>
        <v/>
      </c>
      <c r="B14" t="n">
        <v>440852</v>
      </c>
      <c r="C14" t="n">
        <v>118523.4666666667</v>
      </c>
      <c r="D14" t="n">
        <v>3.72</v>
      </c>
    </row>
    <row r="15">
      <c r="A15">
        <f>HYPERLINK("https://www.tradingview.com/chart/?symbol=NSE:DMART", "DMART")</f>
        <v/>
      </c>
      <c r="B15" t="n">
        <v>825900</v>
      </c>
      <c r="C15" t="n">
        <v>229935.9</v>
      </c>
      <c r="D15" t="n">
        <v>3.59</v>
      </c>
    </row>
    <row r="16">
      <c r="A16">
        <f>HYPERLINK("https://www.tradingview.com/chart/?symbol=NSE:GRAVITA", "GRAVITA")</f>
        <v/>
      </c>
      <c r="B16" t="n">
        <v>397547</v>
      </c>
      <c r="C16" t="n">
        <v>120967.7</v>
      </c>
      <c r="D16" t="n">
        <v>3.29</v>
      </c>
    </row>
    <row r="17">
      <c r="A17">
        <f>HYPERLINK("https://www.tradingview.com/chart/?symbol=NSE:MEDANTA", "MEDANTA")</f>
        <v/>
      </c>
      <c r="B17" t="n">
        <v>328637</v>
      </c>
      <c r="C17" t="n">
        <v>103323.8</v>
      </c>
      <c r="D17" t="n">
        <v>3.18</v>
      </c>
    </row>
    <row r="18">
      <c r="A18">
        <f>HYPERLINK("https://www.tradingview.com/chart/?symbol=NSE:ONESOURCE", "ONESOURCE")</f>
        <v/>
      </c>
      <c r="B18" t="n">
        <v>582328</v>
      </c>
      <c r="C18" t="n">
        <v>185814.2</v>
      </c>
      <c r="D18" t="n">
        <v>3.13</v>
      </c>
    </row>
    <row r="19">
      <c r="A19">
        <f>HYPERLINK("https://www.tradingview.com/chart/?symbol=NSE:BLS", "BLS")</f>
        <v/>
      </c>
      <c r="B19" t="n">
        <v>2246485</v>
      </c>
      <c r="C19" t="n">
        <v>733472.3333333334</v>
      </c>
      <c r="D19" t="n">
        <v>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2026-03-27T19:26:43Z</dcterms:created>
  <dcterms:modified xsi:type="dcterms:W3CDTF">2026-03-27T19:26:43Z</dcterms:modified>
</cp:coreProperties>
</file>