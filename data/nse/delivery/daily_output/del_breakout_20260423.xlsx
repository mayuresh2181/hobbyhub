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HYPERLINK("https://www.tradingview.com/chart/?symbol=NSE:FLUOROCHEM", "FLUOROCHEM")</f>
        <v/>
      </c>
      <c r="B2" t="n">
        <v>272991</v>
      </c>
      <c r="C2" t="n">
        <v>43891.96666666667</v>
      </c>
      <c r="D2" t="n">
        <v>6.22</v>
      </c>
    </row>
    <row r="3">
      <c r="A3">
        <f>HYPERLINK("https://www.tradingview.com/chart/?symbol=NSE:OFSS", "OFSS")</f>
        <v/>
      </c>
      <c r="B3" t="n">
        <v>403140</v>
      </c>
      <c r="C3" t="n">
        <v>71063.76666666666</v>
      </c>
      <c r="D3" t="n">
        <v>5.67</v>
      </c>
    </row>
    <row r="4">
      <c r="A4">
        <f>HYPERLINK("https://www.tradingview.com/chart/?symbol=NSE:GODREJIND", "GODREJIND")</f>
        <v/>
      </c>
      <c r="B4" t="n">
        <v>280021</v>
      </c>
      <c r="C4" t="n">
        <v>53389.76666666667</v>
      </c>
      <c r="D4" t="n">
        <v>5.24</v>
      </c>
    </row>
    <row r="5">
      <c r="A5">
        <f>HYPERLINK("https://www.tradingview.com/chart/?symbol=NSE:EMCURE", "EMCURE")</f>
        <v/>
      </c>
      <c r="B5" t="n">
        <v>670663</v>
      </c>
      <c r="C5" t="n">
        <v>127895.5666666667</v>
      </c>
      <c r="D5" t="n">
        <v>5.24</v>
      </c>
    </row>
    <row r="6">
      <c r="A6">
        <f>HYPERLINK("https://www.tradingview.com/chart/?symbol=NSE:TATACOMM", "TATACOMM")</f>
        <v/>
      </c>
      <c r="B6" t="n">
        <v>1049830</v>
      </c>
      <c r="C6" t="n">
        <v>205599.7333333333</v>
      </c>
      <c r="D6" t="n">
        <v>5.11</v>
      </c>
    </row>
    <row r="7">
      <c r="A7">
        <f>HYPERLINK("https://www.tradingview.com/chart/?symbol=NSE:ARE&amp;M", "ARE&amp;M")</f>
        <v/>
      </c>
      <c r="B7" t="n">
        <v>2142288</v>
      </c>
      <c r="C7" t="n">
        <v>421986.2333333333</v>
      </c>
      <c r="D7" t="n">
        <v>5.08</v>
      </c>
    </row>
    <row r="8">
      <c r="A8">
        <f>HYPERLINK("https://www.tradingview.com/chart/?symbol=NSE:CLEAN", "CLEAN")</f>
        <v/>
      </c>
      <c r="B8" t="n">
        <v>734742</v>
      </c>
      <c r="C8" t="n">
        <v>146815.6666666667</v>
      </c>
      <c r="D8" t="n">
        <v>5</v>
      </c>
    </row>
    <row r="9">
      <c r="A9">
        <f>HYPERLINK("https://www.tradingview.com/chart/?symbol=NSE:KIMS", "KIMS")</f>
        <v/>
      </c>
      <c r="B9" t="n">
        <v>1149339</v>
      </c>
      <c r="C9" t="n">
        <v>233939.3</v>
      </c>
      <c r="D9" t="n">
        <v>4.91</v>
      </c>
    </row>
    <row r="10">
      <c r="A10">
        <f>HYPERLINK("https://www.tradingview.com/chart/?symbol=NSE:ATUL", "ATUL")</f>
        <v/>
      </c>
      <c r="B10" t="n">
        <v>79325</v>
      </c>
      <c r="C10" t="n">
        <v>18161.9</v>
      </c>
      <c r="D10" t="n">
        <v>4.37</v>
      </c>
    </row>
    <row r="11">
      <c r="A11">
        <f>HYPERLINK("https://www.tradingview.com/chart/?symbol=NSE:PPLPHARMA", "PPLPHARMA")</f>
        <v/>
      </c>
      <c r="B11" t="n">
        <v>5315800</v>
      </c>
      <c r="C11" t="n">
        <v>1235291.566666667</v>
      </c>
      <c r="D11" t="n">
        <v>4.3</v>
      </c>
    </row>
    <row r="12">
      <c r="A12">
        <f>HYPERLINK("https://www.tradingview.com/chart/?symbol=NSE:IIFL", "IIFL")</f>
        <v/>
      </c>
      <c r="B12" t="n">
        <v>3299462</v>
      </c>
      <c r="C12" t="n">
        <v>773965.7333333333</v>
      </c>
      <c r="D12" t="n">
        <v>4.26</v>
      </c>
    </row>
    <row r="13">
      <c r="A13">
        <f>HYPERLINK("https://www.tradingview.com/chart/?symbol=NSE:EIDPARRY", "EIDPARRY")</f>
        <v/>
      </c>
      <c r="B13" t="n">
        <v>537936</v>
      </c>
      <c r="C13" t="n">
        <v>129893.4</v>
      </c>
      <c r="D13" t="n">
        <v>4.14</v>
      </c>
    </row>
    <row r="14">
      <c r="A14">
        <f>HYPERLINK("https://www.tradingview.com/chart/?symbol=NSE:WELCORP", "WELCORP")</f>
        <v/>
      </c>
      <c r="B14" t="n">
        <v>1433740</v>
      </c>
      <c r="C14" t="n">
        <v>395275.6</v>
      </c>
      <c r="D14" t="n">
        <v>3.63</v>
      </c>
    </row>
    <row r="15">
      <c r="A15">
        <f>HYPERLINK("https://www.tradingview.com/chart/?symbol=NSE:ONESOURCE", "ONESOURCE")</f>
        <v/>
      </c>
      <c r="B15" t="n">
        <v>1332962</v>
      </c>
      <c r="C15" t="n">
        <v>403301.6</v>
      </c>
      <c r="D15" t="n">
        <v>3.31</v>
      </c>
    </row>
    <row r="16">
      <c r="A16">
        <f>HYPERLINK("https://www.tradingview.com/chart/?symbol=NSE:DATAPATTNS", "DATAPATTNS")</f>
        <v/>
      </c>
      <c r="B16" t="n">
        <v>722026</v>
      </c>
      <c r="C16" t="n">
        <v>219562.7333333333</v>
      </c>
      <c r="D16" t="n">
        <v>3.29</v>
      </c>
    </row>
    <row r="17">
      <c r="A17">
        <f>HYPERLINK("https://www.tradingview.com/chart/?symbol=NSE:HAVELLS", "HAVELLS")</f>
        <v/>
      </c>
      <c r="B17" t="n">
        <v>2427408</v>
      </c>
      <c r="C17" t="n">
        <v>737386.5</v>
      </c>
      <c r="D17" t="n">
        <v>3.29</v>
      </c>
    </row>
    <row r="18">
      <c r="A18">
        <f>HYPERLINK("https://www.tradingview.com/chart/?symbol=NSE:SOBHA", "SOBHA")</f>
        <v/>
      </c>
      <c r="B18" t="n">
        <v>229307</v>
      </c>
      <c r="C18" t="n">
        <v>71486.26666666666</v>
      </c>
      <c r="D18" t="n">
        <v>3.21</v>
      </c>
    </row>
    <row r="19">
      <c r="A19">
        <f>HYPERLINK("https://www.tradingview.com/chart/?symbol=NSE:JUBLINGREA", "JUBLINGREA")</f>
        <v/>
      </c>
      <c r="B19" t="n">
        <v>395717</v>
      </c>
      <c r="C19" t="n">
        <v>126176.2</v>
      </c>
      <c r="D19" t="n">
        <v>3.14</v>
      </c>
    </row>
    <row r="20">
      <c r="A20">
        <f>HYPERLINK("https://www.tradingview.com/chart/?symbol=NSE:RRKABEL", "RRKABEL")</f>
        <v/>
      </c>
      <c r="B20" t="n">
        <v>268223</v>
      </c>
      <c r="C20" t="n">
        <v>88448.7</v>
      </c>
      <c r="D20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2026-04-24T19:35:56Z</dcterms:created>
  <dcterms:modified xsi:type="dcterms:W3CDTF">2026-04-24T19:35:56Z</dcterms:modified>
</cp:coreProperties>
</file>