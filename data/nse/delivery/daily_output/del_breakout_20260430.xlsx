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HYPERLINK("https://www.tradingview.com/chart/?symbol=NSE:CEMPRO", "CEMPRO")</f>
        <v/>
      </c>
      <c r="B2" t="n">
        <v>2351410</v>
      </c>
      <c r="C2" t="n">
        <v>259474.8333333333</v>
      </c>
      <c r="D2" t="n">
        <v>9.06</v>
      </c>
    </row>
    <row r="3">
      <c r="A3">
        <f>HYPERLINK("https://www.tradingview.com/chart/?symbol=NSE:SYNGENE", "SYNGENE")</f>
        <v/>
      </c>
      <c r="B3" t="n">
        <v>7631518</v>
      </c>
      <c r="C3" t="n">
        <v>929792.3333333334</v>
      </c>
      <c r="D3" t="n">
        <v>8.210000000000001</v>
      </c>
    </row>
    <row r="4">
      <c r="A4">
        <f>HYPERLINK("https://www.tradingview.com/chart/?symbol=NSE:VIJAYA", "VIJAYA")</f>
        <v/>
      </c>
      <c r="B4" t="n">
        <v>504635</v>
      </c>
      <c r="C4" t="n">
        <v>88680.03333333334</v>
      </c>
      <c r="D4" t="n">
        <v>5.69</v>
      </c>
    </row>
    <row r="5">
      <c r="A5">
        <f>HYPERLINK("https://www.tradingview.com/chart/?symbol=NSE:NAVINFLUOR", "NAVINFLUOR")</f>
        <v/>
      </c>
      <c r="B5" t="n">
        <v>628806</v>
      </c>
      <c r="C5" t="n">
        <v>113893.8</v>
      </c>
      <c r="D5" t="n">
        <v>5.52</v>
      </c>
    </row>
    <row r="6">
      <c r="A6">
        <f>HYPERLINK("https://www.tradingview.com/chart/?symbol=NSE:IIFL", "IIFL")</f>
        <v/>
      </c>
      <c r="B6" t="n">
        <v>5305067</v>
      </c>
      <c r="C6" t="n">
        <v>1157072.666666667</v>
      </c>
      <c r="D6" t="n">
        <v>4.58</v>
      </c>
    </row>
    <row r="7">
      <c r="A7">
        <f>HYPERLINK("https://www.tradingview.com/chart/?symbol=NSE:M&amp;MFIN", "M&amp;MFIN")</f>
        <v/>
      </c>
      <c r="B7" t="n">
        <v>3654321</v>
      </c>
      <c r="C7" t="n">
        <v>802772.3559322034</v>
      </c>
      <c r="D7" t="n">
        <v>4.55</v>
      </c>
    </row>
    <row r="8">
      <c r="A8">
        <f>HYPERLINK("https://www.tradingview.com/chart/?symbol=NSE:KFINTECH", "KFINTECH")</f>
        <v/>
      </c>
      <c r="B8" t="n">
        <v>2075717</v>
      </c>
      <c r="C8" t="n">
        <v>471128.7333333333</v>
      </c>
      <c r="D8" t="n">
        <v>4.41</v>
      </c>
    </row>
    <row r="9">
      <c r="A9">
        <f>HYPERLINK("https://www.tradingview.com/chart/?symbol=NSE:WAAREEENER", "WAAREEENER")</f>
        <v/>
      </c>
      <c r="B9" t="n">
        <v>2728980</v>
      </c>
      <c r="C9" t="n">
        <v>636343.6333333333</v>
      </c>
      <c r="D9" t="n">
        <v>4.29</v>
      </c>
    </row>
    <row r="10">
      <c r="A10">
        <f>HYPERLINK("https://www.tradingview.com/chart/?symbol=NSE:JKCEMENT", "JKCEMENT")</f>
        <v/>
      </c>
      <c r="B10" t="n">
        <v>228830</v>
      </c>
      <c r="C10" t="n">
        <v>54813.46666666667</v>
      </c>
      <c r="D10" t="n">
        <v>4.17</v>
      </c>
    </row>
    <row r="11">
      <c r="A11">
        <f>HYPERLINK("https://www.tradingview.com/chart/?symbol=NSE:FLUOROCHEM", "FLUOROCHEM")</f>
        <v/>
      </c>
      <c r="B11" t="n">
        <v>198887</v>
      </c>
      <c r="C11" t="n">
        <v>52194.86666666667</v>
      </c>
      <c r="D11" t="n">
        <v>3.81</v>
      </c>
    </row>
    <row r="12">
      <c r="A12">
        <f>HYPERLINK("https://www.tradingview.com/chart/?symbol=NSE:VEDL", "VEDL")</f>
        <v/>
      </c>
      <c r="B12" t="n">
        <v>37087810</v>
      </c>
      <c r="C12" t="n">
        <v>10119710.96666667</v>
      </c>
      <c r="D12" t="n">
        <v>3.66</v>
      </c>
    </row>
    <row r="13">
      <c r="A13">
        <f>HYPERLINK("https://www.tradingview.com/chart/?symbol=NSE:MEESHO", "MEESHO")</f>
        <v/>
      </c>
      <c r="B13" t="n">
        <v>10805760</v>
      </c>
      <c r="C13" t="n">
        <v>2976829.8</v>
      </c>
      <c r="D13" t="n">
        <v>3.63</v>
      </c>
    </row>
    <row r="14">
      <c r="A14">
        <f>HYPERLINK("https://www.tradingview.com/chart/?symbol=NSE:HFCL", "HFCL")</f>
        <v/>
      </c>
      <c r="B14" t="n">
        <v>43591888</v>
      </c>
      <c r="C14" t="n">
        <v>12339087.96666667</v>
      </c>
      <c r="D14" t="n">
        <v>3.53</v>
      </c>
    </row>
    <row r="15">
      <c r="A15">
        <f>HYPERLINK("https://www.tradingview.com/chart/?symbol=NSE:CEATLTD", "CEATLTD")</f>
        <v/>
      </c>
      <c r="B15" t="n">
        <v>183034</v>
      </c>
      <c r="C15" t="n">
        <v>52252.3</v>
      </c>
      <c r="D15" t="n">
        <v>3.5</v>
      </c>
    </row>
    <row r="16">
      <c r="A16">
        <f>HYPERLINK("https://www.tradingview.com/chart/?symbol=NSE:INDIANB", "INDIANB")</f>
        <v/>
      </c>
      <c r="B16" t="n">
        <v>3329456</v>
      </c>
      <c r="C16" t="n">
        <v>1013973.8</v>
      </c>
      <c r="D16" t="n">
        <v>3.28</v>
      </c>
    </row>
    <row r="17">
      <c r="A17">
        <f>HYPERLINK("https://www.tradingview.com/chart/?symbol=NSE:EMMVEE", "EMMVEE")</f>
        <v/>
      </c>
      <c r="B17" t="n">
        <v>5341101</v>
      </c>
      <c r="C17" t="n">
        <v>1652910.366666667</v>
      </c>
      <c r="D17" t="n">
        <v>3.23</v>
      </c>
    </row>
    <row r="18">
      <c r="A18">
        <f>HYPERLINK("https://www.tradingview.com/chart/?symbol=NSE:NEWGEN", "NEWGEN")</f>
        <v/>
      </c>
      <c r="B18" t="n">
        <v>1136027</v>
      </c>
      <c r="C18" t="n">
        <v>365145.0666666667</v>
      </c>
      <c r="D18" t="n">
        <v>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2026-05-01T19:50:08Z</dcterms:created>
  <dcterms:modified xsi:type="dcterms:W3CDTF">2026-05-01T19:50:08Z</dcterms:modified>
</cp:coreProperties>
</file>