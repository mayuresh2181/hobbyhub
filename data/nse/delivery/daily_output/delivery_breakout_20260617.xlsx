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HYPERLINK("https://www.tradingview.com/chart/?symbol=NSE:DOMS","DOMS")</f>
        <v/>
      </c>
      <c r="B2" t="n">
        <v>4435114</v>
      </c>
      <c r="C2" t="n">
        <v>28606.24137931034</v>
      </c>
      <c r="D2" t="n">
        <v>155.04</v>
      </c>
    </row>
    <row r="3">
      <c r="A3">
        <f>HYPERLINK("https://www.tradingview.com/chart/?symbol=NSE:GICRE","GICRE")</f>
        <v/>
      </c>
      <c r="B3" t="n">
        <v>4612872</v>
      </c>
      <c r="C3" t="n">
        <v>327405.3448275862</v>
      </c>
      <c r="D3" t="n">
        <v>14.09</v>
      </c>
    </row>
    <row r="4">
      <c r="A4">
        <f>HYPERLINK("https://www.tradingview.com/chart/?symbol=NSE:IDBI","IDBI")</f>
        <v/>
      </c>
      <c r="B4" t="n">
        <v>35875996</v>
      </c>
      <c r="C4" t="n">
        <v>2814330.75862069</v>
      </c>
      <c r="D4" t="n">
        <v>12.75</v>
      </c>
    </row>
    <row r="5">
      <c r="A5">
        <f>HYPERLINK("https://www.tradingview.com/chart/?symbol=NSE:ICICIAMC","ICICIAMC")</f>
        <v/>
      </c>
      <c r="B5" t="n">
        <v>2523963</v>
      </c>
      <c r="C5" t="n">
        <v>232711.275862069</v>
      </c>
      <c r="D5" t="n">
        <v>10.85</v>
      </c>
    </row>
    <row r="6">
      <c r="A6">
        <f>HYPERLINK("https://www.tradingview.com/chart/?symbol=NSE:UCOBANK","UCOBANK")</f>
        <v/>
      </c>
      <c r="B6" t="n">
        <v>17840688</v>
      </c>
      <c r="C6" t="n">
        <v>1936815.793103448</v>
      </c>
      <c r="D6" t="n">
        <v>9.210000000000001</v>
      </c>
    </row>
    <row r="7">
      <c r="A7">
        <f>HYPERLINK("https://www.tradingview.com/chart/?symbol=NSE:IOB","IOB")</f>
        <v/>
      </c>
      <c r="B7" t="n">
        <v>7840280</v>
      </c>
      <c r="C7" t="n">
        <v>1405197.206896552</v>
      </c>
      <c r="D7" t="n">
        <v>5.58</v>
      </c>
    </row>
    <row r="8">
      <c r="A8">
        <f>HYPERLINK("https://www.tradingview.com/chart/?symbol=NSE:BRIGADE","BRIGADE")</f>
        <v/>
      </c>
      <c r="B8" t="n">
        <v>810174</v>
      </c>
      <c r="C8" t="n">
        <v>148243.1724137931</v>
      </c>
      <c r="D8" t="n">
        <v>5.47</v>
      </c>
    </row>
    <row r="9">
      <c r="A9">
        <f>HYPERLINK("https://www.tradingview.com/chart/?symbol=NSE:TRENT","TRENT")</f>
        <v/>
      </c>
      <c r="B9" t="n">
        <v>1718831</v>
      </c>
      <c r="C9" t="n">
        <v>327728.6206896552</v>
      </c>
      <c r="D9" t="n">
        <v>5.24</v>
      </c>
    </row>
    <row r="10">
      <c r="A10">
        <f>HYPERLINK("https://www.tradingview.com/chart/?symbol=NSE:JKCEMENT","JKCEMENT")</f>
        <v/>
      </c>
      <c r="B10" t="n">
        <v>162867</v>
      </c>
      <c r="C10" t="n">
        <v>36982.51724137931</v>
      </c>
      <c r="D10" t="n">
        <v>4.4</v>
      </c>
    </row>
    <row r="11">
      <c r="A11">
        <f>HYPERLINK("https://www.tradingview.com/chart/?symbol=NSE:TMPV","TMPV")</f>
        <v/>
      </c>
      <c r="B11" t="n">
        <v>20660573</v>
      </c>
      <c r="C11" t="n">
        <v>4953625.448275862</v>
      </c>
      <c r="D11" t="n">
        <v>4.17</v>
      </c>
    </row>
    <row r="12">
      <c r="A12">
        <f>HYPERLINK("https://www.tradingview.com/chart/?symbol=NSE:CENTRALBK","CENTRALBK")</f>
        <v/>
      </c>
      <c r="B12" t="n">
        <v>32587725</v>
      </c>
      <c r="C12" t="n">
        <v>9105764.344827587</v>
      </c>
      <c r="D12" t="n">
        <v>3.58</v>
      </c>
    </row>
    <row r="13">
      <c r="A13">
        <f>HYPERLINK("https://www.tradingview.com/chart/?symbol=NSE:MMTC","MMTC")</f>
        <v/>
      </c>
      <c r="B13" t="n">
        <v>5435513</v>
      </c>
      <c r="C13" t="n">
        <v>1520595.827586207</v>
      </c>
      <c r="D13" t="n">
        <v>3.57</v>
      </c>
    </row>
    <row r="14">
      <c r="A14">
        <f>HYPERLINK("https://www.tradingview.com/chart/?symbol=NSE:NEWGEN","NEWGEN")</f>
        <v/>
      </c>
      <c r="B14" t="n">
        <v>1348738</v>
      </c>
      <c r="C14" t="n">
        <v>378275.3793103448</v>
      </c>
      <c r="D14" t="n">
        <v>3.57</v>
      </c>
    </row>
    <row r="15">
      <c r="A15">
        <f>HYPERLINK("https://www.tradingview.com/chart/?symbol=NSE:DMART","DMART")</f>
        <v/>
      </c>
      <c r="B15" t="n">
        <v>726899</v>
      </c>
      <c r="C15" t="n">
        <v>223188.8965517241</v>
      </c>
      <c r="D15" t="n">
        <v>3.26</v>
      </c>
    </row>
    <row r="16">
      <c r="A16">
        <f>HYPERLINK("https://www.tradingview.com/chart/?symbol=NSE:MSUMI","MSUMI")</f>
        <v/>
      </c>
      <c r="B16" t="n">
        <v>13668040</v>
      </c>
      <c r="C16" t="n">
        <v>4244496.965517242</v>
      </c>
      <c r="D16" t="n">
        <v>3.22</v>
      </c>
    </row>
    <row r="17">
      <c r="A17">
        <f>HYPERLINK("https://www.tradingview.com/chart/?symbol=NSE:APOLLOTYRE","APOLLOTYRE")</f>
        <v/>
      </c>
      <c r="B17" t="n">
        <v>2416293</v>
      </c>
      <c r="C17" t="n">
        <v>787930.0689655172</v>
      </c>
      <c r="D17" t="n">
        <v>3.07</v>
      </c>
    </row>
    <row r="18">
      <c r="A18">
        <f>HYPERLINK("https://www.tradingview.com/chart/?symbol=NSE:YESBANK","YESBANK")</f>
        <v/>
      </c>
      <c r="B18" t="n">
        <v>152673513</v>
      </c>
      <c r="C18" t="n">
        <v>49739858.06896552</v>
      </c>
      <c r="D18" t="n">
        <v>3.07</v>
      </c>
    </row>
    <row r="19">
      <c r="A19">
        <f>HYPERLINK("https://www.tradingview.com/chart/?symbol=NSE:CARTRADE","CARTRADE")</f>
        <v/>
      </c>
      <c r="B19" t="n">
        <v>938804</v>
      </c>
      <c r="C19" t="n">
        <v>310169.1724137931</v>
      </c>
      <c r="D19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2026-06-18T21:08:02Z</dcterms:created>
  <dcterms:modified xsi:type="dcterms:W3CDTF">2026-06-18T21:08:02Z</dcterms:modified>
</cp:coreProperties>
</file>