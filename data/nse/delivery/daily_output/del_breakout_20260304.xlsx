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HYPERLINK("https://www.tradingview.com/chart/?symbol=NSE:SUNDRMFAST", "SUNDRMFAST")</f>
        <v/>
      </c>
      <c r="B2" t="n">
        <v>3122397</v>
      </c>
      <c r="C2" t="n">
        <v>145087.8666666667</v>
      </c>
      <c r="D2" t="n">
        <v>21.52</v>
      </c>
    </row>
    <row r="3">
      <c r="A3">
        <f>HYPERLINK("https://www.tradingview.com/chart/?symbol=NSE:ITCHOTELS", "ITCHOTELS")</f>
        <v/>
      </c>
      <c r="B3" t="n">
        <v>9982407</v>
      </c>
      <c r="C3" t="n">
        <v>1716567.633333333</v>
      </c>
      <c r="D3" t="n">
        <v>5.82</v>
      </c>
    </row>
    <row r="4">
      <c r="A4">
        <f>HYPERLINK("https://www.tradingview.com/chart/?symbol=NSE:TRIVENI", "TRIVENI")</f>
        <v/>
      </c>
      <c r="B4" t="n">
        <v>654405</v>
      </c>
      <c r="C4" t="n">
        <v>127924.9666666667</v>
      </c>
      <c r="D4" t="n">
        <v>5.12</v>
      </c>
    </row>
    <row r="5">
      <c r="A5">
        <f>HYPERLINK("https://www.tradingview.com/chart/?symbol=NSE:TEJASNET", "TEJASNET")</f>
        <v/>
      </c>
      <c r="B5" t="n">
        <v>7218686</v>
      </c>
      <c r="C5" t="n">
        <v>1481905.033333333</v>
      </c>
      <c r="D5" t="n">
        <v>4.87</v>
      </c>
    </row>
    <row r="6">
      <c r="A6">
        <f>HYPERLINK("https://www.tradingview.com/chart/?symbol=NSE:DLF", "DLF")</f>
        <v/>
      </c>
      <c r="B6" t="n">
        <v>10458673</v>
      </c>
      <c r="C6" t="n">
        <v>2239004.5</v>
      </c>
      <c r="D6" t="n">
        <v>4.67</v>
      </c>
    </row>
    <row r="7">
      <c r="A7">
        <f>HYPERLINK("https://www.tradingview.com/chart/?symbol=NSE:BALRAMCHIN", "BALRAMCHIN")</f>
        <v/>
      </c>
      <c r="B7" t="n">
        <v>728080</v>
      </c>
      <c r="C7" t="n">
        <v>161543.6</v>
      </c>
      <c r="D7" t="n">
        <v>4.51</v>
      </c>
    </row>
    <row r="8">
      <c r="A8">
        <f>HYPERLINK("https://www.tradingview.com/chart/?symbol=NSE:SOLARINDS", "SOLARINDS")</f>
        <v/>
      </c>
      <c r="B8" t="n">
        <v>269781</v>
      </c>
      <c r="C8" t="n">
        <v>61930.6</v>
      </c>
      <c r="D8" t="n">
        <v>4.36</v>
      </c>
    </row>
    <row r="9">
      <c r="A9">
        <f>HYPERLINK("https://www.tradingview.com/chart/?symbol=NSE:PETRONET", "PETRONET")</f>
        <v/>
      </c>
      <c r="B9" t="n">
        <v>7806814</v>
      </c>
      <c r="C9" t="n">
        <v>1791532.266666667</v>
      </c>
      <c r="D9" t="n">
        <v>4.36</v>
      </c>
    </row>
    <row r="10">
      <c r="A10">
        <f>HYPERLINK("https://www.tradingview.com/chart/?symbol=NSE:ABLBL", "ABLBL")</f>
        <v/>
      </c>
      <c r="B10" t="n">
        <v>6188702</v>
      </c>
      <c r="C10" t="n">
        <v>1454233.166666667</v>
      </c>
      <c r="D10" t="n">
        <v>4.26</v>
      </c>
    </row>
    <row r="11">
      <c r="A11">
        <f>HYPERLINK("https://www.tradingview.com/chart/?symbol=NSE:BATAINDIA", "BATAINDIA")</f>
        <v/>
      </c>
      <c r="B11" t="n">
        <v>238971</v>
      </c>
      <c r="C11" t="n">
        <v>65990.8</v>
      </c>
      <c r="D11" t="n">
        <v>3.62</v>
      </c>
    </row>
    <row r="12">
      <c r="A12">
        <f>HYPERLINK("https://www.tradingview.com/chart/?symbol=NSE:ANGELONE", "ANGELONE")</f>
        <v/>
      </c>
      <c r="B12" t="n">
        <v>2156680</v>
      </c>
      <c r="C12" t="n">
        <v>611407.8666666667</v>
      </c>
      <c r="D12" t="n">
        <v>3.53</v>
      </c>
    </row>
    <row r="13">
      <c r="A13">
        <f>HYPERLINK("https://www.tradingview.com/chart/?symbol=NSE:GUJGASLTD", "GUJGASLTD")</f>
        <v/>
      </c>
      <c r="B13" t="n">
        <v>632567</v>
      </c>
      <c r="C13" t="n">
        <v>180864.7666666667</v>
      </c>
      <c r="D13" t="n">
        <v>3.5</v>
      </c>
    </row>
    <row r="14">
      <c r="A14">
        <f>HYPERLINK("https://www.tradingview.com/chart/?symbol=NSE:CAMS", "CAMS")</f>
        <v/>
      </c>
      <c r="B14" t="n">
        <v>1975571</v>
      </c>
      <c r="C14" t="n">
        <v>566156.9</v>
      </c>
      <c r="D14" t="n">
        <v>3.49</v>
      </c>
    </row>
    <row r="15">
      <c r="A15">
        <f>HYPERLINK("https://www.tradingview.com/chart/?symbol=NSE:ZENTEC", "ZENTEC")</f>
        <v/>
      </c>
      <c r="B15" t="n">
        <v>478634</v>
      </c>
      <c r="C15" t="n">
        <v>138402.3333333333</v>
      </c>
      <c r="D15" t="n">
        <v>3.46</v>
      </c>
    </row>
    <row r="16">
      <c r="A16">
        <f>HYPERLINK("https://www.tradingview.com/chart/?symbol=NSE:BBTC", "BBTC")</f>
        <v/>
      </c>
      <c r="B16" t="n">
        <v>46400</v>
      </c>
      <c r="C16" t="n">
        <v>15157.73333333333</v>
      </c>
      <c r="D16" t="n">
        <v>3.06</v>
      </c>
    </row>
    <row r="17">
      <c r="A17">
        <f>HYPERLINK("https://www.tradingview.com/chart/?symbol=NSE:RELIANCE", "RELIANCE")</f>
        <v/>
      </c>
      <c r="B17" t="n">
        <v>20714128</v>
      </c>
      <c r="C17" t="n">
        <v>6763730.833333333</v>
      </c>
      <c r="D17" t="n">
        <v>3.06</v>
      </c>
    </row>
    <row r="18">
      <c r="A18">
        <f>HYPERLINK("https://www.tradingview.com/chart/?symbol=NSE:GSPL", "GSPL")</f>
        <v/>
      </c>
      <c r="B18" t="n">
        <v>601523</v>
      </c>
      <c r="C18" t="n">
        <v>198129.5666666667</v>
      </c>
      <c r="D18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2026-03-05T20:08:11Z</dcterms:created>
  <dcterms:modified xsi:type="dcterms:W3CDTF">2026-03-05T20:08:11Z</dcterms:modified>
</cp:coreProperties>
</file>