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HYPERLINK("https://www.tradingview.com/chart/?symbol=NSE:GLAND", "GLAND")</f>
        <v/>
      </c>
      <c r="B2" t="n">
        <v>1305239</v>
      </c>
      <c r="C2" t="n">
        <v>127480.2</v>
      </c>
      <c r="D2" t="n">
        <v>10.24</v>
      </c>
    </row>
    <row r="3">
      <c r="A3">
        <f>HYPERLINK("https://www.tradingview.com/chart/?symbol=NSE:GESHIP", "GESHIP")</f>
        <v/>
      </c>
      <c r="B3" t="n">
        <v>2040744</v>
      </c>
      <c r="C3" t="n">
        <v>363938.4666666667</v>
      </c>
      <c r="D3" t="n">
        <v>5.61</v>
      </c>
    </row>
    <row r="4">
      <c r="A4">
        <f>HYPERLINK("https://www.tradingview.com/chart/?symbol=NSE:AMBER", "AMBER")</f>
        <v/>
      </c>
      <c r="B4" t="n">
        <v>445947</v>
      </c>
      <c r="C4" t="n">
        <v>106249.5</v>
      </c>
      <c r="D4" t="n">
        <v>4.2</v>
      </c>
    </row>
    <row r="5">
      <c r="A5">
        <f>HYPERLINK("https://www.tradingview.com/chart/?symbol=NSE:PNB", "PNB")</f>
        <v/>
      </c>
      <c r="B5" t="n">
        <v>35086407</v>
      </c>
      <c r="C5" t="n">
        <v>8873238.533333333</v>
      </c>
      <c r="D5" t="n">
        <v>3.95</v>
      </c>
    </row>
    <row r="6">
      <c r="A6">
        <f>HYPERLINK("https://www.tradingview.com/chart/?symbol=NSE:TRAVELFOOD", "TRAVELFOOD")</f>
        <v/>
      </c>
      <c r="B6" t="n">
        <v>84785</v>
      </c>
      <c r="C6" t="n">
        <v>21982.73333333333</v>
      </c>
      <c r="D6" t="n">
        <v>3.86</v>
      </c>
    </row>
    <row r="7">
      <c r="A7">
        <f>HYPERLINK("https://www.tradingview.com/chart/?symbol=NSE:TVSMOTOR", "TVSMOTOR")</f>
        <v/>
      </c>
      <c r="B7" t="n">
        <v>1611620</v>
      </c>
      <c r="C7" t="n">
        <v>498155.0333333333</v>
      </c>
      <c r="D7" t="n">
        <v>3.24</v>
      </c>
    </row>
    <row r="8">
      <c r="A8">
        <f>HYPERLINK("https://www.tradingview.com/chart/?symbol=NSE:ICICIPRULI", "ICICIPRULI")</f>
        <v/>
      </c>
      <c r="B8" t="n">
        <v>2634317</v>
      </c>
      <c r="C8" t="n">
        <v>851555.1333333333</v>
      </c>
      <c r="D8" t="n">
        <v>3.09</v>
      </c>
    </row>
    <row r="9">
      <c r="A9">
        <f>HYPERLINK("https://www.tradingview.com/chart/?symbol=NSE:KEC", "KEC")</f>
        <v/>
      </c>
      <c r="B9" t="n">
        <v>1908131</v>
      </c>
      <c r="C9" t="n">
        <v>633178.0666666667</v>
      </c>
      <c r="D9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2026-05-19T04:24:06Z</dcterms:created>
  <dcterms:modified xsi:type="dcterms:W3CDTF">2026-05-19T04:24:06Z</dcterms:modified>
</cp:coreProperties>
</file>