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HYPERLINK("https://www.tradingview.com/chart/?symbol=NSE:GRASIM","GRASIM")</f>
        <v/>
      </c>
      <c r="B2" t="n">
        <v>3380.5</v>
      </c>
      <c r="C2" t="n">
        <v>2568033</v>
      </c>
      <c r="D2" t="n">
        <v>1620979</v>
      </c>
      <c r="E2" t="n">
        <v>63.12</v>
      </c>
      <c r="F2" t="n">
        <v>316233.5333333333</v>
      </c>
      <c r="G2" t="n">
        <v>5.13</v>
      </c>
      <c r="H2" t="n">
        <v>868.12</v>
      </c>
      <c r="I2" t="n">
        <v>547.97</v>
      </c>
    </row>
    <row r="3">
      <c r="A3">
        <f>HYPERLINK("https://www.tradingview.com/chart/?symbol=NSE:SKYGOLD","SKYGOLD")</f>
        <v/>
      </c>
      <c r="B3" t="n">
        <v>779.6</v>
      </c>
      <c r="C3" t="n">
        <v>8041621</v>
      </c>
      <c r="D3" t="n">
        <v>2481727</v>
      </c>
      <c r="E3" t="n">
        <v>30.86</v>
      </c>
      <c r="F3" t="n">
        <v>475763.5333333333</v>
      </c>
      <c r="G3" t="n">
        <v>5.22</v>
      </c>
      <c r="H3" t="n">
        <v>626.92</v>
      </c>
      <c r="I3" t="n">
        <v>193.48</v>
      </c>
    </row>
    <row r="4">
      <c r="A4">
        <f>HYPERLINK("https://www.tradingview.com/chart/?symbol=NSE:EMIL","EMIL")</f>
        <v/>
      </c>
      <c r="B4" t="n">
        <v>180.77</v>
      </c>
      <c r="C4" t="n">
        <v>101219512</v>
      </c>
      <c r="D4" t="n">
        <v>9590612</v>
      </c>
      <c r="E4" t="n">
        <v>9.48</v>
      </c>
      <c r="F4" t="n">
        <v>1635011.666666667</v>
      </c>
      <c r="G4" t="n">
        <v>5.87</v>
      </c>
      <c r="H4" t="n">
        <v>1829.75</v>
      </c>
      <c r="I4" t="n">
        <v>173.37</v>
      </c>
    </row>
    <row r="5">
      <c r="A5">
        <f>HYPERLINK("https://www.tradingview.com/chart/?symbol=NSE:CAPILLARY","CAPILLARY")</f>
        <v/>
      </c>
      <c r="B5" t="n">
        <v>521.55</v>
      </c>
      <c r="C5" t="n">
        <v>5396221</v>
      </c>
      <c r="D5" t="n">
        <v>2960620</v>
      </c>
      <c r="E5" t="n">
        <v>54.86</v>
      </c>
      <c r="F5" t="n">
        <v>146503.0333333333</v>
      </c>
      <c r="G5" t="n">
        <v>20.21</v>
      </c>
      <c r="H5" t="n">
        <v>281.44</v>
      </c>
      <c r="I5" t="n">
        <v>154.41</v>
      </c>
    </row>
    <row r="6">
      <c r="A6">
        <f>HYPERLINK("https://www.tradingview.com/chart/?symbol=NSE:SBCL","SBCL")</f>
        <v/>
      </c>
      <c r="B6" t="n">
        <v>1105.05</v>
      </c>
      <c r="C6" t="n">
        <v>10977312</v>
      </c>
      <c r="D6" t="n">
        <v>1152004</v>
      </c>
      <c r="E6" t="n">
        <v>10.49</v>
      </c>
      <c r="F6" t="n">
        <v>217948.1</v>
      </c>
      <c r="G6" t="n">
        <v>5.29</v>
      </c>
      <c r="H6" t="n">
        <v>1213.05</v>
      </c>
      <c r="I6" t="n">
        <v>127.3</v>
      </c>
    </row>
    <row r="7">
      <c r="A7">
        <f>HYPERLINK("https://www.tradingview.com/chart/?symbol=NSE:SEDEMAC","SEDEMAC")</f>
        <v/>
      </c>
      <c r="B7" t="n">
        <v>2908.3</v>
      </c>
      <c r="C7" t="n">
        <v>730707</v>
      </c>
      <c r="D7" t="n">
        <v>410351</v>
      </c>
      <c r="E7" t="n">
        <v>56.16</v>
      </c>
      <c r="F7" t="n">
        <v>51753</v>
      </c>
      <c r="G7" t="n">
        <v>7.93</v>
      </c>
      <c r="H7" t="n">
        <v>212.51</v>
      </c>
      <c r="I7" t="n">
        <v>119.34</v>
      </c>
    </row>
    <row r="8">
      <c r="A8">
        <f>HYPERLINK("https://www.tradingview.com/chart/?symbol=NSE:UNIVCABLES","UNIVCABLES")</f>
        <v/>
      </c>
      <c r="B8" t="n">
        <v>1693.4</v>
      </c>
      <c r="C8" t="n">
        <v>1907323</v>
      </c>
      <c r="D8" t="n">
        <v>559426</v>
      </c>
      <c r="E8" t="n">
        <v>29.33</v>
      </c>
      <c r="F8" t="n">
        <v>64730.56666666667</v>
      </c>
      <c r="G8" t="n">
        <v>8.640000000000001</v>
      </c>
      <c r="H8" t="n">
        <v>322.99</v>
      </c>
      <c r="I8" t="n">
        <v>94.73</v>
      </c>
    </row>
    <row r="9">
      <c r="A9">
        <f>HYPERLINK("https://www.tradingview.com/chart/?symbol=NSE:ITAXIS","ITAXIS")</f>
        <v/>
      </c>
      <c r="B9" t="n">
        <v>348.58</v>
      </c>
      <c r="C9" t="n">
        <v>2586310</v>
      </c>
      <c r="D9" t="n">
        <v>2583945</v>
      </c>
      <c r="E9" t="n">
        <v>99.91</v>
      </c>
      <c r="F9" t="n">
        <v>14981.69230769231</v>
      </c>
      <c r="G9" t="n">
        <v>172.47</v>
      </c>
      <c r="H9" t="n">
        <v>90.15000000000001</v>
      </c>
      <c r="I9" t="n">
        <v>90.06999999999999</v>
      </c>
    </row>
    <row r="10">
      <c r="A10">
        <f>HYPERLINK("https://www.tradingview.com/chart/?symbol=NSE:JSLL","JSLL")</f>
        <v/>
      </c>
      <c r="B10" t="n">
        <v>539.95</v>
      </c>
      <c r="C10" t="n">
        <v>3722539</v>
      </c>
      <c r="D10" t="n">
        <v>1359152</v>
      </c>
      <c r="E10" t="n">
        <v>36.51</v>
      </c>
      <c r="F10" t="n">
        <v>219566.1666666667</v>
      </c>
      <c r="G10" t="n">
        <v>6.19</v>
      </c>
      <c r="H10" t="n">
        <v>201</v>
      </c>
      <c r="I10" t="n">
        <v>73.39</v>
      </c>
    </row>
    <row r="11">
      <c r="A11">
        <f>HYPERLINK("https://www.tradingview.com/chart/?symbol=NSE:JGCHEM","JGCHEM")</f>
        <v/>
      </c>
      <c r="B11" t="n">
        <v>622.2</v>
      </c>
      <c r="C11" t="n">
        <v>10811484</v>
      </c>
      <c r="D11" t="n">
        <v>1143217</v>
      </c>
      <c r="E11" t="n">
        <v>10.57</v>
      </c>
      <c r="F11" t="n">
        <v>102066.5333333333</v>
      </c>
      <c r="G11" t="n">
        <v>11.2</v>
      </c>
      <c r="H11" t="n">
        <v>672.6900000000001</v>
      </c>
      <c r="I11" t="n">
        <v>71.13</v>
      </c>
    </row>
    <row r="12">
      <c r="A12">
        <f>HYPERLINK("https://www.tradingview.com/chart/?symbol=NSE:AARTIPHARM","AARTIPHARM")</f>
        <v/>
      </c>
      <c r="B12" t="n">
        <v>823</v>
      </c>
      <c r="C12" t="n">
        <v>3125635</v>
      </c>
      <c r="D12" t="n">
        <v>846384</v>
      </c>
      <c r="E12" t="n">
        <v>27.08</v>
      </c>
      <c r="F12" t="n">
        <v>78252.60000000001</v>
      </c>
      <c r="G12" t="n">
        <v>10.82</v>
      </c>
      <c r="H12" t="n">
        <v>257.24</v>
      </c>
      <c r="I12" t="n">
        <v>69.66</v>
      </c>
    </row>
    <row r="13">
      <c r="A13">
        <f>HYPERLINK("https://www.tradingview.com/chart/?symbol=NSE:POLYMED","POLYMED")</f>
        <v/>
      </c>
      <c r="B13" t="n">
        <v>1772.4</v>
      </c>
      <c r="C13" t="n">
        <v>831186</v>
      </c>
      <c r="D13" t="n">
        <v>342001</v>
      </c>
      <c r="E13" t="n">
        <v>41.15</v>
      </c>
      <c r="F13" t="n">
        <v>44978.86666666667</v>
      </c>
      <c r="G13" t="n">
        <v>7.6</v>
      </c>
      <c r="H13" t="n">
        <v>147.32</v>
      </c>
      <c r="I13" t="n">
        <v>60.62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2026-08-10T19:36:47Z</dcterms:created>
  <dcterms:modified xsi:type="dcterms:W3CDTF">2026-08-10T19:36:47Z</dcterms:modified>
</cp:coreProperties>
</file>