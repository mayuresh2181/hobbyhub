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HYPERLINK("https://www.tradingview.com/chart/?symbol=NSE:GROWW","GROWW")</f>
        <v/>
      </c>
      <c r="B2" t="n">
        <v>196.24</v>
      </c>
      <c r="C2" t="n">
        <v>195088475</v>
      </c>
      <c r="D2" t="n">
        <v>138344378</v>
      </c>
      <c r="E2" t="n">
        <v>70.91</v>
      </c>
      <c r="F2" t="n">
        <v>13501636.3</v>
      </c>
      <c r="G2" t="n">
        <v>10.25</v>
      </c>
      <c r="H2" t="n">
        <v>3828.42</v>
      </c>
      <c r="I2" t="n">
        <v>2714.87</v>
      </c>
    </row>
    <row r="3">
      <c r="A3">
        <f>HYPERLINK("https://www.tradingview.com/chart/?symbol=NSE:VIYASH","VIYASH")</f>
        <v/>
      </c>
      <c r="B3" t="n">
        <v>263.4</v>
      </c>
      <c r="C3" t="n">
        <v>115482970</v>
      </c>
      <c r="D3" t="n">
        <v>53209876</v>
      </c>
      <c r="E3" t="n">
        <v>46.08</v>
      </c>
      <c r="F3" t="n">
        <v>1233543</v>
      </c>
      <c r="G3" t="n">
        <v>43.14</v>
      </c>
      <c r="H3" t="n">
        <v>3041.82</v>
      </c>
      <c r="I3" t="n">
        <v>1401.55</v>
      </c>
    </row>
    <row r="4">
      <c r="A4">
        <f>HYPERLINK("https://www.tradingview.com/chart/?symbol=NSE:HINDCOPPER","HINDCOPPER")</f>
        <v/>
      </c>
      <c r="B4" t="n">
        <v>556.05</v>
      </c>
      <c r="C4" t="n">
        <v>56459799</v>
      </c>
      <c r="D4" t="n">
        <v>18191094</v>
      </c>
      <c r="E4" t="n">
        <v>32.22</v>
      </c>
      <c r="F4" t="n">
        <v>3287859.733333333</v>
      </c>
      <c r="G4" t="n">
        <v>5.53</v>
      </c>
      <c r="H4" t="n">
        <v>3139.45</v>
      </c>
      <c r="I4" t="n">
        <v>1011.52</v>
      </c>
    </row>
    <row r="5">
      <c r="A5">
        <f>HYPERLINK("https://www.tradingview.com/chart/?symbol=NSE:ICICIGI","ICICIGI")</f>
        <v/>
      </c>
      <c r="B5" t="n">
        <v>1596.9</v>
      </c>
      <c r="C5" t="n">
        <v>5634591</v>
      </c>
      <c r="D5" t="n">
        <v>3722150</v>
      </c>
      <c r="E5" t="n">
        <v>66.06</v>
      </c>
      <c r="F5" t="n">
        <v>709045.1</v>
      </c>
      <c r="G5" t="n">
        <v>5.25</v>
      </c>
      <c r="H5" t="n">
        <v>899.79</v>
      </c>
      <c r="I5" t="n">
        <v>594.39</v>
      </c>
    </row>
    <row r="6">
      <c r="A6">
        <f>HYPERLINK("https://www.tradingview.com/chart/?symbol=NSE:CYIENT","CYIENT")</f>
        <v/>
      </c>
      <c r="B6" t="n">
        <v>1047.7</v>
      </c>
      <c r="C6" t="n">
        <v>11712766</v>
      </c>
      <c r="D6" t="n">
        <v>1856153</v>
      </c>
      <c r="E6" t="n">
        <v>15.85</v>
      </c>
      <c r="F6" t="n">
        <v>330131.0333333333</v>
      </c>
      <c r="G6" t="n">
        <v>5.62</v>
      </c>
      <c r="H6" t="n">
        <v>1227.15</v>
      </c>
      <c r="I6" t="n">
        <v>194.47</v>
      </c>
    </row>
    <row r="7">
      <c r="A7">
        <f>HYPERLINK("https://www.tradingview.com/chart/?symbol=NSE:HDBFS","HDBFS")</f>
        <v/>
      </c>
      <c r="B7" t="n">
        <v>687.5</v>
      </c>
      <c r="C7" t="n">
        <v>2726973</v>
      </c>
      <c r="D7" t="n">
        <v>2481615</v>
      </c>
      <c r="E7" t="n">
        <v>91</v>
      </c>
      <c r="F7" t="n">
        <v>309939.3</v>
      </c>
      <c r="G7" t="n">
        <v>8.01</v>
      </c>
      <c r="H7" t="n">
        <v>187.48</v>
      </c>
      <c r="I7" t="n">
        <v>170.61</v>
      </c>
    </row>
    <row r="8">
      <c r="A8">
        <f>HYPERLINK("https://www.tradingview.com/chart/?symbol=NSE:IDBI","IDBI")</f>
        <v/>
      </c>
      <c r="B8" t="n">
        <v>94.75</v>
      </c>
      <c r="C8" t="n">
        <v>57839582</v>
      </c>
      <c r="D8" t="n">
        <v>17908682</v>
      </c>
      <c r="E8" t="n">
        <v>30.96</v>
      </c>
      <c r="F8" t="n">
        <v>2918609</v>
      </c>
      <c r="G8" t="n">
        <v>6.14</v>
      </c>
      <c r="H8" t="n">
        <v>548.03</v>
      </c>
      <c r="I8" t="n">
        <v>169.68</v>
      </c>
    </row>
    <row r="9">
      <c r="A9">
        <f>HYPERLINK("https://www.tradingview.com/chart/?symbol=NSE:INDOTHAI","INDOTHAI")</f>
        <v/>
      </c>
      <c r="B9" t="n">
        <v>51.16</v>
      </c>
      <c r="C9" t="n">
        <v>30273546</v>
      </c>
      <c r="D9" t="n">
        <v>12259862</v>
      </c>
      <c r="E9" t="n">
        <v>40.5</v>
      </c>
      <c r="F9" t="n">
        <v>452088.6666666667</v>
      </c>
      <c r="G9" t="n">
        <v>27.12</v>
      </c>
      <c r="H9" t="n">
        <v>154.88</v>
      </c>
      <c r="I9" t="n">
        <v>62.72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2026-08-26T21:10:31Z</dcterms:created>
  <dcterms:modified xsi:type="dcterms:W3CDTF">2026-08-26T21:10:31Z</dcterms:modified>
</cp:coreProperties>
</file>