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HYPERLINK("https://www.tradingview.com/chart/?symbol=NSE:ZFCVINDIA","ZFCVINDIA")</f>
        <v/>
      </c>
      <c r="B2" t="n">
        <v>217159</v>
      </c>
      <c r="C2" t="n">
        <v>36266.79310344828</v>
      </c>
      <c r="D2" t="n">
        <v>5.99</v>
      </c>
    </row>
    <row r="3">
      <c r="A3">
        <f>HYPERLINK("https://www.tradingview.com/chart/?symbol=NSE:VIJAYA","VIJAYA")</f>
        <v/>
      </c>
      <c r="B3" t="n">
        <v>686444</v>
      </c>
      <c r="C3" t="n">
        <v>120930.275862069</v>
      </c>
      <c r="D3" t="n">
        <v>5.68</v>
      </c>
    </row>
    <row r="4">
      <c r="A4">
        <f>HYPERLINK("https://www.tradingview.com/chart/?symbol=NSE:WHIRLPOOL","WHIRLPOOL")</f>
        <v/>
      </c>
      <c r="B4" t="n">
        <v>642717</v>
      </c>
      <c r="C4" t="n">
        <v>135752.2413793103</v>
      </c>
      <c r="D4" t="n">
        <v>4.73</v>
      </c>
    </row>
    <row r="5">
      <c r="A5">
        <f>HYPERLINK("https://www.tradingview.com/chart/?symbol=NSE:SAMMAANCAP","SAMMAANCAP")</f>
        <v/>
      </c>
      <c r="B5" t="n">
        <v>36090445</v>
      </c>
      <c r="C5" t="n">
        <v>7819151</v>
      </c>
      <c r="D5" t="n">
        <v>4.62</v>
      </c>
    </row>
    <row r="6">
      <c r="A6">
        <f>HYPERLINK("https://www.tradingview.com/chart/?symbol=NSE:EICHERMOT","EICHERMOT")</f>
        <v/>
      </c>
      <c r="B6" t="n">
        <v>1179488</v>
      </c>
      <c r="C6" t="n">
        <v>315172.3448275862</v>
      </c>
      <c r="D6" t="n">
        <v>3.74</v>
      </c>
    </row>
    <row r="7">
      <c r="A7">
        <f>HYPERLINK("https://www.tradingview.com/chart/?symbol=NSE:IPCALAB","IPCALAB")</f>
        <v/>
      </c>
      <c r="B7" t="n">
        <v>441588</v>
      </c>
      <c r="C7" t="n">
        <v>119559.0689655172</v>
      </c>
      <c r="D7" t="n">
        <v>3.69</v>
      </c>
    </row>
    <row r="8">
      <c r="A8">
        <f>HYPERLINK("https://www.tradingview.com/chart/?symbol=NSE:APTUS","APTUS")</f>
        <v/>
      </c>
      <c r="B8" t="n">
        <v>1610147</v>
      </c>
      <c r="C8" t="n">
        <v>450726.3103448276</v>
      </c>
      <c r="D8" t="n">
        <v>3.57</v>
      </c>
    </row>
    <row r="9">
      <c r="A9">
        <f>HYPERLINK("https://www.tradingview.com/chart/?symbol=NSE:KPITTECH","KPITTECH")</f>
        <v/>
      </c>
      <c r="B9" t="n">
        <v>1754729</v>
      </c>
      <c r="C9" t="n">
        <v>504813.4827586207</v>
      </c>
      <c r="D9" t="n">
        <v>3.48</v>
      </c>
    </row>
    <row r="10">
      <c r="A10">
        <f>HYPERLINK("https://www.tradingview.com/chart/?symbol=NSE:ICICIGI","ICICIGI")</f>
        <v/>
      </c>
      <c r="B10" t="n">
        <v>1300054</v>
      </c>
      <c r="C10" t="n">
        <v>398856.1379310345</v>
      </c>
      <c r="D10" t="n">
        <v>3.26</v>
      </c>
    </row>
    <row r="11">
      <c r="A11">
        <f>HYPERLINK("https://www.tradingview.com/chart/?symbol=NSE:KEC","KEC")</f>
        <v/>
      </c>
      <c r="B11" t="n">
        <v>1603528</v>
      </c>
      <c r="C11" t="n">
        <v>496614.9310344828</v>
      </c>
      <c r="D11" t="n">
        <v>3.23</v>
      </c>
    </row>
    <row r="12">
      <c r="A12">
        <f>HYPERLINK("https://www.tradingview.com/chart/?symbol=NSE:RRKABEL","RRKABEL")</f>
        <v/>
      </c>
      <c r="B12" t="n">
        <v>940790</v>
      </c>
      <c r="C12" t="n">
        <v>293527.3448275862</v>
      </c>
      <c r="D12" t="n">
        <v>3.21</v>
      </c>
    </row>
    <row r="13">
      <c r="A13">
        <f>HYPERLINK("https://www.tradingview.com/chart/?symbol=NSE:CGCL","CGCL")</f>
        <v/>
      </c>
      <c r="B13" t="n">
        <v>4195355</v>
      </c>
      <c r="C13" t="n">
        <v>1368129.586206896</v>
      </c>
      <c r="D13" t="n">
        <v>3.07</v>
      </c>
    </row>
    <row r="14">
      <c r="A14">
        <f>HYPERLINK("https://www.tradingview.com/chart/?symbol=NSE:RAMCOCEM","RAMCOCEM")</f>
        <v/>
      </c>
      <c r="B14" t="n">
        <v>377030</v>
      </c>
      <c r="C14" t="n">
        <v>124039.8620689655</v>
      </c>
      <c r="D14" t="n">
        <v>3.04</v>
      </c>
    </row>
    <row r="15">
      <c r="A15">
        <f>HYPERLINK("https://www.tradingview.com/chart/?symbol=NSE:TARIL","TARIL")</f>
        <v/>
      </c>
      <c r="B15" t="n">
        <v>3130536</v>
      </c>
      <c r="C15" t="n">
        <v>1036275.344827586</v>
      </c>
      <c r="D15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2026-07-01T20:27:45Z</dcterms:created>
  <dcterms:modified xsi:type="dcterms:W3CDTF">2026-07-01T20:27:45Z</dcterms:modified>
</cp:coreProperties>
</file>