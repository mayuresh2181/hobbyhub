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HYPERLINK("https://www.tradingview.com/chart/?symbol=NSE:MEESHO","MEESHO")</f>
        <v/>
      </c>
      <c r="B2" t="n">
        <v>214.44</v>
      </c>
      <c r="C2" t="n">
        <v>83376786</v>
      </c>
      <c r="D2" t="n">
        <v>52055207</v>
      </c>
      <c r="E2" t="n">
        <v>62.43</v>
      </c>
      <c r="F2" t="n">
        <v>7149758.4</v>
      </c>
      <c r="G2" t="n">
        <v>7.28</v>
      </c>
      <c r="H2" t="n">
        <v>1787.93</v>
      </c>
      <c r="I2" t="n">
        <v>1116.27</v>
      </c>
    </row>
    <row r="3">
      <c r="A3">
        <f>HYPERLINK("https://www.tradingview.com/chart/?symbol=NSE:JSWINFRA","JSWINFRA")</f>
        <v/>
      </c>
      <c r="B3" t="n">
        <v>348.25</v>
      </c>
      <c r="C3" t="n">
        <v>25470641</v>
      </c>
      <c r="D3" t="n">
        <v>16474653</v>
      </c>
      <c r="E3" t="n">
        <v>64.68000000000001</v>
      </c>
      <c r="F3" t="n">
        <v>1512939.9</v>
      </c>
      <c r="G3" t="n">
        <v>10.89</v>
      </c>
      <c r="H3" t="n">
        <v>887.02</v>
      </c>
      <c r="I3" t="n">
        <v>573.73</v>
      </c>
    </row>
    <row r="4">
      <c r="A4">
        <f>HYPERLINK("https://www.tradingview.com/chart/?symbol=NSE:INDUSINDBK","INDUSINDBK")</f>
        <v/>
      </c>
      <c r="B4" t="n">
        <v>966.3</v>
      </c>
      <c r="C4" t="n">
        <v>6250679</v>
      </c>
      <c r="D4" t="n">
        <v>4656142</v>
      </c>
      <c r="E4" t="n">
        <v>74.48999999999999</v>
      </c>
      <c r="F4" t="n">
        <v>746090.7</v>
      </c>
      <c r="G4" t="n">
        <v>6.24</v>
      </c>
      <c r="H4" t="n">
        <v>604</v>
      </c>
      <c r="I4" t="n">
        <v>449.92</v>
      </c>
    </row>
    <row r="5">
      <c r="A5">
        <f>HYPERLINK("https://www.tradingview.com/chart/?symbol=NSE:ANTHEM","ANTHEM")</f>
        <v/>
      </c>
      <c r="B5" t="n">
        <v>928.5</v>
      </c>
      <c r="C5" t="n">
        <v>5490000</v>
      </c>
      <c r="D5" t="n">
        <v>3815599</v>
      </c>
      <c r="E5" t="n">
        <v>69.5</v>
      </c>
      <c r="F5" t="n">
        <v>429518.1333333334</v>
      </c>
      <c r="G5" t="n">
        <v>8.880000000000001</v>
      </c>
      <c r="H5" t="n">
        <v>509.75</v>
      </c>
      <c r="I5" t="n">
        <v>354.28</v>
      </c>
    </row>
    <row r="6">
      <c r="A6">
        <f>HYPERLINK("https://www.tradingview.com/chart/?symbol=NSE:AVALON","AVALON")</f>
        <v/>
      </c>
      <c r="B6" t="n">
        <v>2537.7</v>
      </c>
      <c r="C6" t="n">
        <v>4310981</v>
      </c>
      <c r="D6" t="n">
        <v>1369122</v>
      </c>
      <c r="E6" t="n">
        <v>31.76</v>
      </c>
      <c r="F6" t="n">
        <v>182953.8333333333</v>
      </c>
      <c r="G6" t="n">
        <v>7.48</v>
      </c>
      <c r="H6" t="n">
        <v>1094</v>
      </c>
      <c r="I6" t="n">
        <v>347.44</v>
      </c>
    </row>
    <row r="7">
      <c r="A7">
        <f>HYPERLINK("https://www.tradingview.com/chart/?symbol=NSE:ACMESOLAR","ACMESOLAR")</f>
        <v/>
      </c>
      <c r="B7" t="n">
        <v>435.25</v>
      </c>
      <c r="C7" t="n">
        <v>12038412</v>
      </c>
      <c r="D7" t="n">
        <v>7105260</v>
      </c>
      <c r="E7" t="n">
        <v>59.02</v>
      </c>
      <c r="F7" t="n">
        <v>834202.5333333333</v>
      </c>
      <c r="G7" t="n">
        <v>8.52</v>
      </c>
      <c r="H7" t="n">
        <v>523.97</v>
      </c>
      <c r="I7" t="n">
        <v>309.26</v>
      </c>
    </row>
    <row r="8">
      <c r="A8">
        <f>HYPERLINK("https://www.tradingview.com/chart/?symbol=NSE:TATACHEM","TATACHEM")</f>
        <v/>
      </c>
      <c r="B8" t="n">
        <v>693.25</v>
      </c>
      <c r="C8" t="n">
        <v>14086032</v>
      </c>
      <c r="D8" t="n">
        <v>3546449</v>
      </c>
      <c r="E8" t="n">
        <v>25.18</v>
      </c>
      <c r="F8" t="n">
        <v>438188.5</v>
      </c>
      <c r="G8" t="n">
        <v>8.09</v>
      </c>
      <c r="H8" t="n">
        <v>976.51</v>
      </c>
      <c r="I8" t="n">
        <v>245.86</v>
      </c>
    </row>
    <row r="9">
      <c r="A9">
        <f>HYPERLINK("https://www.tradingview.com/chart/?symbol=NSE:SKFINDUS","SKFINDUS")</f>
        <v/>
      </c>
      <c r="B9" t="n">
        <v>2984.2</v>
      </c>
      <c r="C9" t="n">
        <v>1293995</v>
      </c>
      <c r="D9" t="n">
        <v>811274</v>
      </c>
      <c r="E9" t="n">
        <v>62.7</v>
      </c>
      <c r="F9" t="n">
        <v>33327.5</v>
      </c>
      <c r="G9" t="n">
        <v>24.34</v>
      </c>
      <c r="H9" t="n">
        <v>386.15</v>
      </c>
      <c r="I9" t="n">
        <v>242.1</v>
      </c>
    </row>
    <row r="10">
      <c r="A10">
        <f>HYPERLINK("https://www.tradingview.com/chart/?symbol=NSE:EMCURE","EMCURE")</f>
        <v/>
      </c>
      <c r="B10" t="n">
        <v>2003.8</v>
      </c>
      <c r="C10" t="n">
        <v>1744754</v>
      </c>
      <c r="D10" t="n">
        <v>1140456</v>
      </c>
      <c r="E10" t="n">
        <v>65.36</v>
      </c>
      <c r="F10" t="n">
        <v>76673.96666666666</v>
      </c>
      <c r="G10" t="n">
        <v>14.87</v>
      </c>
      <c r="H10" t="n">
        <v>349.61</v>
      </c>
      <c r="I10" t="n">
        <v>228.52</v>
      </c>
    </row>
    <row r="11">
      <c r="A11">
        <f>HYPERLINK("https://www.tradingview.com/chart/?symbol=NSE:CRAFTSMAN","CRAFTSMAN")</f>
        <v/>
      </c>
      <c r="B11" t="n">
        <v>11138</v>
      </c>
      <c r="C11" t="n">
        <v>207605</v>
      </c>
      <c r="D11" t="n">
        <v>141171</v>
      </c>
      <c r="E11" t="n">
        <v>68</v>
      </c>
      <c r="F11" t="n">
        <v>22512.5</v>
      </c>
      <c r="G11" t="n">
        <v>6.27</v>
      </c>
      <c r="H11" t="n">
        <v>231.23</v>
      </c>
      <c r="I11" t="n">
        <v>157.24</v>
      </c>
    </row>
    <row r="12">
      <c r="A12">
        <f>HYPERLINK("https://www.tradingview.com/chart/?symbol=NSE:SJS","SJS")</f>
        <v/>
      </c>
      <c r="B12" t="n">
        <v>2422.8</v>
      </c>
      <c r="C12" t="n">
        <v>992502</v>
      </c>
      <c r="D12" t="n">
        <v>605884</v>
      </c>
      <c r="E12" t="n">
        <v>61.05</v>
      </c>
      <c r="F12" t="n">
        <v>85087.43333333333</v>
      </c>
      <c r="G12" t="n">
        <v>7.12</v>
      </c>
      <c r="H12" t="n">
        <v>240.46</v>
      </c>
      <c r="I12" t="n">
        <v>146.79</v>
      </c>
    </row>
    <row r="13">
      <c r="A13">
        <f>HYPERLINK("https://www.tradingview.com/chart/?symbol=NSE:ATGL","ATGL")</f>
        <v/>
      </c>
      <c r="B13" t="n">
        <v>660.7</v>
      </c>
      <c r="C13" t="n">
        <v>39305845</v>
      </c>
      <c r="D13" t="n">
        <v>2190454</v>
      </c>
      <c r="E13" t="n">
        <v>5.57</v>
      </c>
      <c r="F13" t="n">
        <v>226387.0666666667</v>
      </c>
      <c r="G13" t="n">
        <v>9.68</v>
      </c>
      <c r="H13" t="n">
        <v>2596.94</v>
      </c>
      <c r="I13" t="n">
        <v>144.72</v>
      </c>
    </row>
    <row r="14">
      <c r="A14">
        <f>HYPERLINK("https://www.tradingview.com/chart/?symbol=NSE:OMNI","OMNI")</f>
        <v/>
      </c>
      <c r="B14" t="n">
        <v>556.15</v>
      </c>
      <c r="C14" t="n">
        <v>6045799</v>
      </c>
      <c r="D14" t="n">
        <v>2180581</v>
      </c>
      <c r="E14" t="n">
        <v>36.07</v>
      </c>
      <c r="F14" t="n">
        <v>271692.2666666667</v>
      </c>
      <c r="G14" t="n">
        <v>8.029999999999999</v>
      </c>
      <c r="H14" t="n">
        <v>336.24</v>
      </c>
      <c r="I14" t="n">
        <v>121.27</v>
      </c>
    </row>
    <row r="15">
      <c r="A15">
        <f>HYPERLINK("https://www.tradingview.com/chart/?symbol=NSE:CENTRALBK","CENTRALBK")</f>
        <v/>
      </c>
      <c r="B15" t="n">
        <v>31.73</v>
      </c>
      <c r="C15" t="n">
        <v>56472458</v>
      </c>
      <c r="D15" t="n">
        <v>31914466</v>
      </c>
      <c r="E15" t="n">
        <v>56.51</v>
      </c>
      <c r="F15" t="n">
        <v>2867670.533333333</v>
      </c>
      <c r="G15" t="n">
        <v>11.13</v>
      </c>
      <c r="H15" t="n">
        <v>179.19</v>
      </c>
      <c r="I15" t="n">
        <v>101.26</v>
      </c>
    </row>
    <row r="16">
      <c r="A16">
        <f>HYPERLINK("https://www.tradingview.com/chart/?symbol=NSE:STARHEALTH","STARHEALTH")</f>
        <v/>
      </c>
      <c r="B16" t="n">
        <v>547.05</v>
      </c>
      <c r="C16" t="n">
        <v>2515581</v>
      </c>
      <c r="D16" t="n">
        <v>1777990</v>
      </c>
      <c r="E16" t="n">
        <v>70.68000000000001</v>
      </c>
      <c r="F16" t="n">
        <v>205904.3</v>
      </c>
      <c r="G16" t="n">
        <v>8.640000000000001</v>
      </c>
      <c r="H16" t="n">
        <v>137.61</v>
      </c>
      <c r="I16" t="n">
        <v>97.26000000000001</v>
      </c>
    </row>
    <row r="17">
      <c r="A17">
        <f>HYPERLINK("https://www.tradingview.com/chart/?symbol=NSE:INDIAMART","INDIAMART")</f>
        <v/>
      </c>
      <c r="B17" t="n">
        <v>1646.3</v>
      </c>
      <c r="C17" t="n">
        <v>709316</v>
      </c>
      <c r="D17" t="n">
        <v>556844</v>
      </c>
      <c r="E17" t="n">
        <v>78.5</v>
      </c>
      <c r="F17" t="n">
        <v>57506.63333333333</v>
      </c>
      <c r="G17" t="n">
        <v>9.68</v>
      </c>
      <c r="H17" t="n">
        <v>116.77</v>
      </c>
      <c r="I17" t="n">
        <v>91.67</v>
      </c>
    </row>
    <row r="18">
      <c r="A18">
        <f>HYPERLINK("https://www.tradingview.com/chart/?symbol=NSE:SBILIQETF","SBILIQETF")</f>
        <v/>
      </c>
      <c r="B18" t="n">
        <v>1056.62</v>
      </c>
      <c r="C18" t="n">
        <v>725607</v>
      </c>
      <c r="D18" t="n">
        <v>712664</v>
      </c>
      <c r="E18" t="n">
        <v>98.22</v>
      </c>
      <c r="F18" t="n">
        <v>86447.83333333333</v>
      </c>
      <c r="G18" t="n">
        <v>8.24</v>
      </c>
      <c r="H18" t="n">
        <v>76.67</v>
      </c>
      <c r="I18" t="n">
        <v>75.3</v>
      </c>
    </row>
    <row r="19">
      <c r="A19">
        <f>HYPERLINK("https://www.tradingview.com/chart/?symbol=NSE:AADHARHFC","AADHARHFC")</f>
        <v/>
      </c>
      <c r="B19" t="n">
        <v>461.65</v>
      </c>
      <c r="C19" t="n">
        <v>2175228</v>
      </c>
      <c r="D19" t="n">
        <v>1575505</v>
      </c>
      <c r="E19" t="n">
        <v>72.43000000000001</v>
      </c>
      <c r="F19" t="n">
        <v>181113.4666666667</v>
      </c>
      <c r="G19" t="n">
        <v>8.699999999999999</v>
      </c>
      <c r="H19" t="n">
        <v>100.42</v>
      </c>
      <c r="I19" t="n">
        <v>72.73</v>
      </c>
    </row>
    <row r="20">
      <c r="A20">
        <f>HYPERLINK("https://www.tradingview.com/chart/?symbol=NSE:ABBOTINDIA","ABBOTINDIA")</f>
        <v/>
      </c>
      <c r="B20" t="n">
        <v>27270</v>
      </c>
      <c r="C20" t="n">
        <v>38339</v>
      </c>
      <c r="D20" t="n">
        <v>25627</v>
      </c>
      <c r="E20" t="n">
        <v>66.84</v>
      </c>
      <c r="F20" t="n">
        <v>5033.133333333333</v>
      </c>
      <c r="G20" t="n">
        <v>5.09</v>
      </c>
      <c r="H20" t="n">
        <v>104.55</v>
      </c>
      <c r="I20" t="n">
        <v>69.88</v>
      </c>
    </row>
    <row r="21">
      <c r="A21">
        <f>HYPERLINK("https://www.tradingview.com/chart/?symbol=NSE:SAMBHV","SAMBHV")</f>
        <v/>
      </c>
      <c r="B21" t="n">
        <v>147.57</v>
      </c>
      <c r="C21" t="n">
        <v>28285913</v>
      </c>
      <c r="D21" t="n">
        <v>4724701</v>
      </c>
      <c r="E21" t="n">
        <v>16.7</v>
      </c>
      <c r="F21" t="n">
        <v>687417.3666666667</v>
      </c>
      <c r="G21" t="n">
        <v>6.87</v>
      </c>
      <c r="H21" t="n">
        <v>417.42</v>
      </c>
      <c r="I21" t="n">
        <v>69.72</v>
      </c>
    </row>
    <row r="22">
      <c r="A22">
        <f>HYPERLINK("https://www.tradingview.com/chart/?symbol=NSE:NIFTYBETA","NIFTYBETA")</f>
        <v/>
      </c>
      <c r="B22" t="n">
        <v>259.77</v>
      </c>
      <c r="C22" t="n">
        <v>2607269</v>
      </c>
      <c r="D22" t="n">
        <v>2601992</v>
      </c>
      <c r="E22" t="n">
        <v>99.8</v>
      </c>
      <c r="F22" t="n">
        <v>44854.96666666667</v>
      </c>
      <c r="G22" t="n">
        <v>58.01</v>
      </c>
      <c r="H22" t="n">
        <v>67.73</v>
      </c>
      <c r="I22" t="n">
        <v>67.59</v>
      </c>
    </row>
    <row r="23">
      <c r="A23">
        <f>HYPERLINK("https://www.tradingview.com/chart/?symbol=NSE:TIMEX","TIMEX")</f>
        <v/>
      </c>
      <c r="B23" t="n">
        <v>714.2</v>
      </c>
      <c r="C23" t="n">
        <v>6651306</v>
      </c>
      <c r="D23" t="n">
        <v>908794</v>
      </c>
      <c r="E23" t="n">
        <v>13.66</v>
      </c>
      <c r="F23" t="n">
        <v>154450.2</v>
      </c>
      <c r="G23" t="n">
        <v>5.88</v>
      </c>
      <c r="H23" t="n">
        <v>475.04</v>
      </c>
      <c r="I23" t="n">
        <v>64.91</v>
      </c>
    </row>
    <row r="24">
      <c r="A24">
        <f>HYPERLINK("https://www.tradingview.com/chart/?symbol=NSE:WHIRLPOOL","WHIRLPOOL")</f>
        <v/>
      </c>
      <c r="B24" t="n">
        <v>717.7</v>
      </c>
      <c r="C24" t="n">
        <v>1683148</v>
      </c>
      <c r="D24" t="n">
        <v>849314</v>
      </c>
      <c r="E24" t="n">
        <v>50.46</v>
      </c>
      <c r="F24" t="n">
        <v>144870.5</v>
      </c>
      <c r="G24" t="n">
        <v>5.86</v>
      </c>
      <c r="H24" t="n">
        <v>120.8</v>
      </c>
      <c r="I24" t="n">
        <v>60.96</v>
      </c>
    </row>
    <row r="25">
      <c r="A25">
        <f>HYPERLINK("https://www.tradingview.com/chart/?symbol=NSE:METROBRAND","METROBRAND")</f>
        <v/>
      </c>
      <c r="B25" t="n">
        <v>940.85</v>
      </c>
      <c r="C25" t="n">
        <v>918435</v>
      </c>
      <c r="D25" t="n">
        <v>583208</v>
      </c>
      <c r="E25" t="n">
        <v>63.5</v>
      </c>
      <c r="F25" t="n">
        <v>56386.76666666667</v>
      </c>
      <c r="G25" t="n">
        <v>10.34</v>
      </c>
      <c r="H25" t="n">
        <v>86.41</v>
      </c>
      <c r="I25" t="n">
        <v>54.87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2026-09-19T20:57:41Z</dcterms:created>
  <dcterms:modified xsi:type="dcterms:W3CDTF">2026-09-19T20:57:41Z</dcterms:modified>
</cp:coreProperties>
</file>