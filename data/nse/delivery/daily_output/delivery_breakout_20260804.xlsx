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HYPERLINK("https://www.tradingview.com/chart/?symbol=NSE:LICI","LICI")</f>
        <v/>
      </c>
      <c r="B2" t="n">
        <v>391.3</v>
      </c>
      <c r="C2" t="n">
        <v>52718651</v>
      </c>
      <c r="D2" t="n">
        <v>21997514</v>
      </c>
      <c r="E2" t="n">
        <v>41.73</v>
      </c>
      <c r="F2" t="n">
        <v>1462383.8</v>
      </c>
      <c r="G2" t="n">
        <v>15.04</v>
      </c>
      <c r="H2" t="n">
        <v>2062.88</v>
      </c>
      <c r="I2" t="n">
        <v>860.76</v>
      </c>
    </row>
    <row r="3">
      <c r="A3">
        <f>HYPERLINK("https://www.tradingview.com/chart/?symbol=NSE:LIQUIDPLUS","LIQUIDPLUS")</f>
        <v/>
      </c>
      <c r="B3" t="n">
        <v>1097.34</v>
      </c>
      <c r="C3" t="n">
        <v>3249928</v>
      </c>
      <c r="D3" t="n">
        <v>3126192</v>
      </c>
      <c r="E3" t="n">
        <v>96.19</v>
      </c>
      <c r="F3" t="n">
        <v>615149.1666666666</v>
      </c>
      <c r="G3" t="n">
        <v>5.08</v>
      </c>
      <c r="H3" t="n">
        <v>356.63</v>
      </c>
      <c r="I3" t="n">
        <v>343.05</v>
      </c>
    </row>
    <row r="4">
      <c r="A4">
        <f>HYPERLINK("https://www.tradingview.com/chart/?symbol=NSE:GESHIP","GESHIP")</f>
        <v/>
      </c>
      <c r="B4" t="n">
        <v>1434.9</v>
      </c>
      <c r="C4" t="n">
        <v>8556675</v>
      </c>
      <c r="D4" t="n">
        <v>1976069</v>
      </c>
      <c r="E4" t="n">
        <v>23.09</v>
      </c>
      <c r="F4" t="n">
        <v>235930.2</v>
      </c>
      <c r="G4" t="n">
        <v>8.380000000000001</v>
      </c>
      <c r="H4" t="n">
        <v>1227.8</v>
      </c>
      <c r="I4" t="n">
        <v>283.55</v>
      </c>
    </row>
    <row r="5">
      <c r="A5">
        <f>HYPERLINK("https://www.tradingview.com/chart/?symbol=NSE:RBA","RBA")</f>
        <v/>
      </c>
      <c r="B5" t="n">
        <v>84.91</v>
      </c>
      <c r="C5" t="n">
        <v>114839192</v>
      </c>
      <c r="D5" t="n">
        <v>31478766</v>
      </c>
      <c r="E5" t="n">
        <v>27.41</v>
      </c>
      <c r="F5" t="n">
        <v>3050813.3</v>
      </c>
      <c r="G5" t="n">
        <v>10.32</v>
      </c>
      <c r="H5" t="n">
        <v>975.1</v>
      </c>
      <c r="I5" t="n">
        <v>267.29</v>
      </c>
    </row>
    <row r="6">
      <c r="A6">
        <f>HYPERLINK("https://www.tradingview.com/chart/?symbol=NSE:MOREPENLAB","MOREPENLAB")</f>
        <v/>
      </c>
      <c r="B6" t="n">
        <v>69.18000000000001</v>
      </c>
      <c r="C6" t="n">
        <v>67096271</v>
      </c>
      <c r="D6" t="n">
        <v>19863913</v>
      </c>
      <c r="E6" t="n">
        <v>29.61</v>
      </c>
      <c r="F6" t="n">
        <v>3517694.166666667</v>
      </c>
      <c r="G6" t="n">
        <v>5.65</v>
      </c>
      <c r="H6" t="n">
        <v>464.17</v>
      </c>
      <c r="I6" t="n">
        <v>137.42</v>
      </c>
    </row>
    <row r="7">
      <c r="A7">
        <f>HYPERLINK("https://www.tradingview.com/chart/?symbol=NSE:MANYAVAR","MANYAVAR")</f>
        <v/>
      </c>
      <c r="B7" t="n">
        <v>485.9</v>
      </c>
      <c r="C7" t="n">
        <v>30164506</v>
      </c>
      <c r="D7" t="n">
        <v>2165794</v>
      </c>
      <c r="E7" t="n">
        <v>7.18</v>
      </c>
      <c r="F7" t="n">
        <v>127702.4333333333</v>
      </c>
      <c r="G7" t="n">
        <v>16.96</v>
      </c>
      <c r="H7" t="n">
        <v>1465.69</v>
      </c>
      <c r="I7" t="n">
        <v>105.24</v>
      </c>
    </row>
    <row r="8">
      <c r="A8">
        <f>HYPERLINK("https://www.tradingview.com/chart/?symbol=NSE:JAINREC","JAINREC")</f>
        <v/>
      </c>
      <c r="B8" t="n">
        <v>323.45</v>
      </c>
      <c r="C8" t="n">
        <v>8542314</v>
      </c>
      <c r="D8" t="n">
        <v>2594166</v>
      </c>
      <c r="E8" t="n">
        <v>30.37</v>
      </c>
      <c r="F8" t="n">
        <v>486453.9666666667</v>
      </c>
      <c r="G8" t="n">
        <v>5.33</v>
      </c>
      <c r="H8" t="n">
        <v>276.3</v>
      </c>
      <c r="I8" t="n">
        <v>83.91</v>
      </c>
    </row>
    <row r="9">
      <c r="A9">
        <f>HYPERLINK("https://www.tradingview.com/chart/?symbol=NSE:BASF","BASF")</f>
        <v/>
      </c>
      <c r="B9" t="n">
        <v>3947.1</v>
      </c>
      <c r="C9" t="n">
        <v>775498</v>
      </c>
      <c r="D9" t="n">
        <v>178311</v>
      </c>
      <c r="E9" t="n">
        <v>22.99</v>
      </c>
      <c r="F9" t="n">
        <v>9862.066666666668</v>
      </c>
      <c r="G9" t="n">
        <v>18.08</v>
      </c>
      <c r="H9" t="n">
        <v>306.1</v>
      </c>
      <c r="I9" t="n">
        <v>70.38</v>
      </c>
    </row>
    <row r="10">
      <c r="A10">
        <f>HYPERLINK("https://www.tradingview.com/chart/?symbol=NSE:TI","TI")</f>
        <v/>
      </c>
      <c r="B10" t="n">
        <v>491.15</v>
      </c>
      <c r="C10" t="n">
        <v>2389271</v>
      </c>
      <c r="D10" t="n">
        <v>1346361</v>
      </c>
      <c r="E10" t="n">
        <v>56.35</v>
      </c>
      <c r="F10" t="n">
        <v>256036.1333333333</v>
      </c>
      <c r="G10" t="n">
        <v>5.26</v>
      </c>
      <c r="H10" t="n">
        <v>117.35</v>
      </c>
      <c r="I10" t="n">
        <v>66.13</v>
      </c>
    </row>
    <row r="11">
      <c r="A11">
        <f>HYPERLINK("https://www.tradingview.com/chart/?symbol=NSE:SAREGAMA","SAREGAMA")</f>
        <v/>
      </c>
      <c r="B11" t="n">
        <v>542.55</v>
      </c>
      <c r="C11" t="n">
        <v>6169224</v>
      </c>
      <c r="D11" t="n">
        <v>1159126</v>
      </c>
      <c r="E11" t="n">
        <v>18.79</v>
      </c>
      <c r="F11" t="n">
        <v>206155.5333333333</v>
      </c>
      <c r="G11" t="n">
        <v>5.62</v>
      </c>
      <c r="H11" t="n">
        <v>334.71</v>
      </c>
      <c r="I11" t="n">
        <v>62.89</v>
      </c>
    </row>
    <row r="12">
      <c r="A12">
        <f>HYPERLINK("https://www.tradingview.com/chart/?symbol=NSE:IMFA","IMFA")</f>
        <v/>
      </c>
      <c r="B12" t="n">
        <v>1467.3</v>
      </c>
      <c r="C12" t="n">
        <v>1157333</v>
      </c>
      <c r="D12" t="n">
        <v>388616</v>
      </c>
      <c r="E12" t="n">
        <v>33.58</v>
      </c>
      <c r="F12" t="n">
        <v>56994.56666666667</v>
      </c>
      <c r="G12" t="n">
        <v>6.82</v>
      </c>
      <c r="H12" t="n">
        <v>169.82</v>
      </c>
      <c r="I12" t="n">
        <v>57.02</v>
      </c>
    </row>
    <row r="13">
      <c r="A13">
        <f>HYPERLINK("https://www.tradingview.com/chart/?symbol=NSE:STYRENIX","STYRENIX")</f>
        <v/>
      </c>
      <c r="B13" t="n">
        <v>2488.6</v>
      </c>
      <c r="C13" t="n">
        <v>641179</v>
      </c>
      <c r="D13" t="n">
        <v>209379</v>
      </c>
      <c r="E13" t="n">
        <v>32.66</v>
      </c>
      <c r="F13" t="n">
        <v>28863.06666666667</v>
      </c>
      <c r="G13" t="n">
        <v>7.25</v>
      </c>
      <c r="H13" t="n">
        <v>159.56</v>
      </c>
      <c r="I13" t="n">
        <v>52.11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2026-08-04T20:11:11Z</dcterms:created>
  <dcterms:modified xsi:type="dcterms:W3CDTF">2026-08-04T20:11:11Z</dcterms:modified>
</cp:coreProperties>
</file>