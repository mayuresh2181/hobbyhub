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HYPERLINK("https://www.tradingview.com/chart/?symbol=NSE:METROPOLIS", "METROPOLIS")</f>
        <v/>
      </c>
      <c r="B2" t="n">
        <v>479369</v>
      </c>
      <c r="C2" t="n">
        <v>47114.36666666667</v>
      </c>
      <c r="D2" t="n">
        <v>10.17</v>
      </c>
    </row>
    <row r="3">
      <c r="A3">
        <f>HYPERLINK("https://www.tradingview.com/chart/?symbol=NSE:LODHA", "LODHA")</f>
        <v/>
      </c>
      <c r="B3" t="n">
        <v>8690656</v>
      </c>
      <c r="C3" t="n">
        <v>1276344.4</v>
      </c>
      <c r="D3" t="n">
        <v>6.81</v>
      </c>
    </row>
    <row r="4">
      <c r="A4">
        <f>HYPERLINK("https://www.tradingview.com/chart/?symbol=NSE:APLLTD", "APLLTD")</f>
        <v/>
      </c>
      <c r="B4" t="n">
        <v>206800</v>
      </c>
      <c r="C4" t="n">
        <v>34035.26666666667</v>
      </c>
      <c r="D4" t="n">
        <v>6.08</v>
      </c>
    </row>
    <row r="5">
      <c r="A5">
        <f>HYPERLINK("https://www.tradingview.com/chart/?symbol=NSE:TRIVENI", "TRIVENI")</f>
        <v/>
      </c>
      <c r="B5" t="n">
        <v>1065040</v>
      </c>
      <c r="C5" t="n">
        <v>180902.8333333333</v>
      </c>
      <c r="D5" t="n">
        <v>5.89</v>
      </c>
    </row>
    <row r="6">
      <c r="A6">
        <f>HYPERLINK("https://www.tradingview.com/chart/?symbol=NSE:PCBL", "PCBL")</f>
        <v/>
      </c>
      <c r="B6" t="n">
        <v>2887441</v>
      </c>
      <c r="C6" t="n">
        <v>514970.7</v>
      </c>
      <c r="D6" t="n">
        <v>5.61</v>
      </c>
    </row>
    <row r="7">
      <c r="A7">
        <f>HYPERLINK("https://www.tradingview.com/chart/?symbol=NSE:TBOTEK", "TBOTEK")</f>
        <v/>
      </c>
      <c r="B7" t="n">
        <v>376837</v>
      </c>
      <c r="C7" t="n">
        <v>77843.03333333334</v>
      </c>
      <c r="D7" t="n">
        <v>4.84</v>
      </c>
    </row>
    <row r="8">
      <c r="A8">
        <f>HYPERLINK("https://www.tradingview.com/chart/?symbol=NSE:SAMMAANCAP", "SAMMAANCAP")</f>
        <v/>
      </c>
      <c r="B8" t="n">
        <v>23748737</v>
      </c>
      <c r="C8" t="n">
        <v>5021881.333333333</v>
      </c>
      <c r="D8" t="n">
        <v>4.73</v>
      </c>
    </row>
    <row r="9">
      <c r="A9">
        <f>HYPERLINK("https://www.tradingview.com/chart/?symbol=NSE:DEEPAKNTR", "DEEPAKNTR")</f>
        <v/>
      </c>
      <c r="B9" t="n">
        <v>289387</v>
      </c>
      <c r="C9" t="n">
        <v>62587.2</v>
      </c>
      <c r="D9" t="n">
        <v>4.62</v>
      </c>
    </row>
    <row r="10">
      <c r="A10">
        <f>HYPERLINK("https://www.tradingview.com/chart/?symbol=NSE:APTUS", "APTUS")</f>
        <v/>
      </c>
      <c r="B10" t="n">
        <v>5300935</v>
      </c>
      <c r="C10" t="n">
        <v>1196700.066666667</v>
      </c>
      <c r="D10" t="n">
        <v>4.43</v>
      </c>
    </row>
    <row r="11">
      <c r="A11">
        <f>HYPERLINK("https://www.tradingview.com/chart/?symbol=NSE:DEEPAKFERT", "DEEPAKFERT")</f>
        <v/>
      </c>
      <c r="B11" t="n">
        <v>508400</v>
      </c>
      <c r="C11" t="n">
        <v>115411.8666666667</v>
      </c>
      <c r="D11" t="n">
        <v>4.41</v>
      </c>
    </row>
    <row r="12">
      <c r="A12">
        <f>HYPERLINK("https://www.tradingview.com/chart/?symbol=NSE:IPCALAB", "IPCALAB")</f>
        <v/>
      </c>
      <c r="B12" t="n">
        <v>537166</v>
      </c>
      <c r="C12" t="n">
        <v>124249.6</v>
      </c>
      <c r="D12" t="n">
        <v>4.32</v>
      </c>
    </row>
    <row r="13">
      <c r="A13">
        <f>HYPERLINK("https://www.tradingview.com/chart/?symbol=NSE:THELEELA", "THELEELA")</f>
        <v/>
      </c>
      <c r="B13" t="n">
        <v>630159</v>
      </c>
      <c r="C13" t="n">
        <v>146180.6666666667</v>
      </c>
      <c r="D13" t="n">
        <v>4.31</v>
      </c>
    </row>
    <row r="14">
      <c r="A14">
        <f>HYPERLINK("https://www.tradingview.com/chart/?symbol=NSE:SHYAMMETL", "SHYAMMETL")</f>
        <v/>
      </c>
      <c r="B14" t="n">
        <v>440852</v>
      </c>
      <c r="C14" t="n">
        <v>105804.0333333333</v>
      </c>
      <c r="D14" t="n">
        <v>4.17</v>
      </c>
    </row>
    <row r="15">
      <c r="A15">
        <f>HYPERLINK("https://www.tradingview.com/chart/?symbol=NSE:DMART", "DMART")</f>
        <v/>
      </c>
      <c r="B15" t="n">
        <v>825900</v>
      </c>
      <c r="C15" t="n">
        <v>205926.9333333333</v>
      </c>
      <c r="D15" t="n">
        <v>4.01</v>
      </c>
    </row>
    <row r="16">
      <c r="A16">
        <f>HYPERLINK("https://www.tradingview.com/chart/?symbol=NSE:GRAVITA", "GRAVITA")</f>
        <v/>
      </c>
      <c r="B16" t="n">
        <v>397547</v>
      </c>
      <c r="C16" t="n">
        <v>108828.7</v>
      </c>
      <c r="D16" t="n">
        <v>3.65</v>
      </c>
    </row>
    <row r="17">
      <c r="A17">
        <f>HYPERLINK("https://www.tradingview.com/chart/?symbol=NSE:MEDANTA", "MEDANTA")</f>
        <v/>
      </c>
      <c r="B17" t="n">
        <v>328637</v>
      </c>
      <c r="C17" t="n">
        <v>97044.89999999999</v>
      </c>
      <c r="D17" t="n">
        <v>3.39</v>
      </c>
    </row>
    <row r="18">
      <c r="A18">
        <f>HYPERLINK("https://www.tradingview.com/chart/?symbol=NSE:ONESOURCE", "ONESOURCE")</f>
        <v/>
      </c>
      <c r="B18" t="n">
        <v>582328</v>
      </c>
      <c r="C18" t="n">
        <v>171929.3333333333</v>
      </c>
      <c r="D18" t="n">
        <v>3.39</v>
      </c>
    </row>
    <row r="19">
      <c r="A19">
        <f>HYPERLINK("https://www.tradingview.com/chart/?symbol=NSE:BLS", "BLS")</f>
        <v/>
      </c>
      <c r="B19" t="n">
        <v>2246485</v>
      </c>
      <c r="C19" t="n">
        <v>666423.6</v>
      </c>
      <c r="D19" t="n">
        <v>3.37</v>
      </c>
    </row>
    <row r="20">
      <c r="A20">
        <f>HYPERLINK("https://www.tradingview.com/chart/?symbol=NSE:GRANULES", "GRANULES")</f>
        <v/>
      </c>
      <c r="B20" t="n">
        <v>1278788</v>
      </c>
      <c r="C20" t="n">
        <v>413451.9666666667</v>
      </c>
      <c r="D20" t="n">
        <v>3.09</v>
      </c>
    </row>
    <row r="21">
      <c r="A21">
        <f>HYPERLINK("https://www.tradingview.com/chart/?symbol=NSE:GUJGASLTD", "GUJGASLTD")</f>
        <v/>
      </c>
      <c r="B21" t="n">
        <v>1052867</v>
      </c>
      <c r="C21" t="n">
        <v>348355.7666666667</v>
      </c>
      <c r="D21" t="n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2026-03-26T19:39:54Z</dcterms:created>
  <dcterms:modified xsi:type="dcterms:W3CDTF">2026-03-26T19:39:54Z</dcterms:modified>
</cp:coreProperties>
</file>