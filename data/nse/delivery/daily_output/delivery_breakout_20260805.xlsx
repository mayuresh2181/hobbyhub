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HYPERLINK("https://www.tradingview.com/chart/?symbol=NSE:LICI","LICI")</f>
        <v/>
      </c>
      <c r="B2" t="n">
        <v>393</v>
      </c>
      <c r="C2" t="n">
        <v>46620081</v>
      </c>
      <c r="D2" t="n">
        <v>32034893</v>
      </c>
      <c r="E2" t="n">
        <v>68.70999999999999</v>
      </c>
      <c r="F2" t="n">
        <v>2096050.433333333</v>
      </c>
      <c r="G2" t="n">
        <v>15.28</v>
      </c>
      <c r="H2" t="n">
        <v>1832.17</v>
      </c>
      <c r="I2" t="n">
        <v>1258.97</v>
      </c>
    </row>
    <row r="3">
      <c r="A3">
        <f>HYPERLINK("https://www.tradingview.com/chart/?symbol=NSE:HINDCOPPER","HINDCOPPER")</f>
        <v/>
      </c>
      <c r="B3" t="n">
        <v>533.8</v>
      </c>
      <c r="C3" t="n">
        <v>22701332</v>
      </c>
      <c r="D3" t="n">
        <v>6676913</v>
      </c>
      <c r="E3" t="n">
        <v>29.41</v>
      </c>
      <c r="F3" t="n">
        <v>1276272.366666667</v>
      </c>
      <c r="G3" t="n">
        <v>5.23</v>
      </c>
      <c r="H3" t="n">
        <v>1211.8</v>
      </c>
      <c r="I3" t="n">
        <v>356.41</v>
      </c>
    </row>
    <row r="4">
      <c r="A4">
        <f>HYPERLINK("https://www.tradingview.com/chart/?symbol=NSE:JUBLFOOD","JUBLFOOD")</f>
        <v/>
      </c>
      <c r="B4" t="n">
        <v>485</v>
      </c>
      <c r="C4" t="n">
        <v>12392227</v>
      </c>
      <c r="D4" t="n">
        <v>5803404</v>
      </c>
      <c r="E4" t="n">
        <v>46.83</v>
      </c>
      <c r="F4" t="n">
        <v>1064315.933333333</v>
      </c>
      <c r="G4" t="n">
        <v>5.45</v>
      </c>
      <c r="H4" t="n">
        <v>601.02</v>
      </c>
      <c r="I4" t="n">
        <v>281.47</v>
      </c>
    </row>
    <row r="5">
      <c r="A5">
        <f>HYPERLINK("https://www.tradingview.com/chart/?symbol=NSE:DEEPAKNTR","DEEPAKNTR")</f>
        <v/>
      </c>
      <c r="B5" t="n">
        <v>1736.7</v>
      </c>
      <c r="C5" t="n">
        <v>3771929</v>
      </c>
      <c r="D5" t="n">
        <v>1158896</v>
      </c>
      <c r="E5" t="n">
        <v>30.72</v>
      </c>
      <c r="F5" t="n">
        <v>86523.76666666666</v>
      </c>
      <c r="G5" t="n">
        <v>13.39</v>
      </c>
      <c r="H5" t="n">
        <v>655.0700000000001</v>
      </c>
      <c r="I5" t="n">
        <v>201.27</v>
      </c>
    </row>
    <row r="6">
      <c r="A6">
        <f>HYPERLINK("https://www.tradingview.com/chart/?symbol=NSE:MOREPENLAB","MOREPENLAB")</f>
        <v/>
      </c>
      <c r="B6" t="n">
        <v>76.95</v>
      </c>
      <c r="C6" t="n">
        <v>119149669</v>
      </c>
      <c r="D6" t="n">
        <v>23105019</v>
      </c>
      <c r="E6" t="n">
        <v>19.39</v>
      </c>
      <c r="F6" t="n">
        <v>4013738.033333333</v>
      </c>
      <c r="G6" t="n">
        <v>5.76</v>
      </c>
      <c r="H6" t="n">
        <v>916.86</v>
      </c>
      <c r="I6" t="n">
        <v>177.79</v>
      </c>
    </row>
    <row r="7">
      <c r="A7">
        <f>HYPERLINK("https://www.tradingview.com/chart/?symbol=NSE:SHILPAMED","SHILPAMED")</f>
        <v/>
      </c>
      <c r="B7" t="n">
        <v>721.75</v>
      </c>
      <c r="C7" t="n">
        <v>16598958</v>
      </c>
      <c r="D7" t="n">
        <v>2155105</v>
      </c>
      <c r="E7" t="n">
        <v>12.98</v>
      </c>
      <c r="F7" t="n">
        <v>358324</v>
      </c>
      <c r="G7" t="n">
        <v>6.01</v>
      </c>
      <c r="H7" t="n">
        <v>1198.03</v>
      </c>
      <c r="I7" t="n">
        <v>155.54</v>
      </c>
    </row>
    <row r="8">
      <c r="A8">
        <f>HYPERLINK("https://www.tradingview.com/chart/?symbol=NSE:SAPPHIRE","SAPPHIRE")</f>
        <v/>
      </c>
      <c r="B8" t="n">
        <v>202.52</v>
      </c>
      <c r="C8" t="n">
        <v>10606626</v>
      </c>
      <c r="D8" t="n">
        <v>6827430</v>
      </c>
      <c r="E8" t="n">
        <v>64.37</v>
      </c>
      <c r="F8" t="n">
        <v>389981.3666666666</v>
      </c>
      <c r="G8" t="n">
        <v>17.51</v>
      </c>
      <c r="H8" t="n">
        <v>214.81</v>
      </c>
      <c r="I8" t="n">
        <v>138.27</v>
      </c>
    </row>
    <row r="9">
      <c r="A9">
        <f>HYPERLINK("https://www.tradingview.com/chart/?symbol=NSE:PTC","PTC")</f>
        <v/>
      </c>
      <c r="B9" t="n">
        <v>198.36</v>
      </c>
      <c r="C9" t="n">
        <v>17703096</v>
      </c>
      <c r="D9" t="n">
        <v>6070877</v>
      </c>
      <c r="E9" t="n">
        <v>34.29</v>
      </c>
      <c r="F9" t="n">
        <v>484419.0666666667</v>
      </c>
      <c r="G9" t="n">
        <v>12.53</v>
      </c>
      <c r="H9" t="n">
        <v>351.16</v>
      </c>
      <c r="I9" t="n">
        <v>120.42</v>
      </c>
    </row>
    <row r="10">
      <c r="A10">
        <f>HYPERLINK("https://www.tradingview.com/chart/?symbol=NSE:CASTROLIND","CASTROLIND")</f>
        <v/>
      </c>
      <c r="B10" t="n">
        <v>191.54</v>
      </c>
      <c r="C10" t="n">
        <v>14623756</v>
      </c>
      <c r="D10" t="n">
        <v>5620869</v>
      </c>
      <c r="E10" t="n">
        <v>38.44</v>
      </c>
      <c r="F10" t="n">
        <v>816268.1666666666</v>
      </c>
      <c r="G10" t="n">
        <v>6.89</v>
      </c>
      <c r="H10" t="n">
        <v>280.1</v>
      </c>
      <c r="I10" t="n">
        <v>107.66</v>
      </c>
    </row>
    <row r="11">
      <c r="A11">
        <f>HYPERLINK("https://www.tradingview.com/chart/?symbol=NSE:CELLO","CELLO")</f>
        <v/>
      </c>
      <c r="B11" t="n">
        <v>398.95</v>
      </c>
      <c r="C11" t="n">
        <v>33275833</v>
      </c>
      <c r="D11" t="n">
        <v>2694765</v>
      </c>
      <c r="E11" t="n">
        <v>8.1</v>
      </c>
      <c r="F11" t="n">
        <v>143687.3</v>
      </c>
      <c r="G11" t="n">
        <v>18.75</v>
      </c>
      <c r="H11" t="n">
        <v>1327.54</v>
      </c>
      <c r="I11" t="n">
        <v>107.51</v>
      </c>
    </row>
    <row r="12">
      <c r="A12">
        <f>HYPERLINK("https://www.tradingview.com/chart/?symbol=NSE:OMNI","OMNI")</f>
        <v/>
      </c>
      <c r="B12" t="n">
        <v>732.6</v>
      </c>
      <c r="C12" t="n">
        <v>10208794</v>
      </c>
      <c r="D12" t="n">
        <v>1444682</v>
      </c>
      <c r="E12" t="n">
        <v>14.15</v>
      </c>
      <c r="F12" t="n">
        <v>155850.1</v>
      </c>
      <c r="G12" t="n">
        <v>9.27</v>
      </c>
      <c r="H12" t="n">
        <v>747.9</v>
      </c>
      <c r="I12" t="n">
        <v>105.84</v>
      </c>
    </row>
    <row r="13">
      <c r="A13">
        <f>HYPERLINK("https://www.tradingview.com/chart/?symbol=NSE:MANYAVAR","MANYAVAR")</f>
        <v/>
      </c>
      <c r="B13" t="n">
        <v>504.35</v>
      </c>
      <c r="C13" t="n">
        <v>16405389</v>
      </c>
      <c r="D13" t="n">
        <v>1711011</v>
      </c>
      <c r="E13" t="n">
        <v>10.43</v>
      </c>
      <c r="F13" t="n">
        <v>197555.6</v>
      </c>
      <c r="G13" t="n">
        <v>8.66</v>
      </c>
      <c r="H13" t="n">
        <v>827.41</v>
      </c>
      <c r="I13" t="n">
        <v>86.29000000000001</v>
      </c>
    </row>
    <row r="14">
      <c r="A14">
        <f>HYPERLINK("https://www.tradingview.com/chart/?symbol=NSE:ASKAUTOLTD","ASKAUTOLTD")</f>
        <v/>
      </c>
      <c r="B14" t="n">
        <v>637.55</v>
      </c>
      <c r="C14" t="n">
        <v>18019129</v>
      </c>
      <c r="D14" t="n">
        <v>1200367</v>
      </c>
      <c r="E14" t="n">
        <v>6.66</v>
      </c>
      <c r="F14" t="n">
        <v>164144.1333333333</v>
      </c>
      <c r="G14" t="n">
        <v>7.31</v>
      </c>
      <c r="H14" t="n">
        <v>1148.81</v>
      </c>
      <c r="I14" t="n">
        <v>76.53</v>
      </c>
    </row>
    <row r="15">
      <c r="A15">
        <f>HYPERLINK("https://www.tradingview.com/chart/?symbol=NSE:BATAINDIA","BATAINDIA")</f>
        <v/>
      </c>
      <c r="B15" t="n">
        <v>730.05</v>
      </c>
      <c r="C15" t="n">
        <v>1729949</v>
      </c>
      <c r="D15" t="n">
        <v>720547</v>
      </c>
      <c r="E15" t="n">
        <v>41.65</v>
      </c>
      <c r="F15" t="n">
        <v>119823.8</v>
      </c>
      <c r="G15" t="n">
        <v>6.01</v>
      </c>
      <c r="H15" t="n">
        <v>126.29</v>
      </c>
      <c r="I15" t="n">
        <v>52.6</v>
      </c>
    </row>
    <row r="16">
      <c r="A16">
        <f>HYPERLINK("https://www.tradingview.com/chart/?symbol=NSE:CAPILLARY","CAPILLARY")</f>
        <v/>
      </c>
      <c r="B16" t="n">
        <v>576.35</v>
      </c>
      <c r="C16" t="n">
        <v>7845843</v>
      </c>
      <c r="D16" t="n">
        <v>903470</v>
      </c>
      <c r="E16" t="n">
        <v>11.52</v>
      </c>
      <c r="F16" t="n">
        <v>118227.8666666667</v>
      </c>
      <c r="G16" t="n">
        <v>7.64</v>
      </c>
      <c r="H16" t="n">
        <v>452.2</v>
      </c>
      <c r="I16" t="n">
        <v>52.07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2026-08-05T20:12:24Z</dcterms:created>
  <dcterms:modified xsi:type="dcterms:W3CDTF">2026-08-05T20:12:24Z</dcterms:modified>
</cp:coreProperties>
</file>