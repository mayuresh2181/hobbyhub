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HYPERLINK("https://www.tradingview.com/chart/?symbol=NSE:PINELABS","PINELABS")</f>
        <v/>
      </c>
      <c r="B2" t="n">
        <v>202.17</v>
      </c>
      <c r="C2" t="n">
        <v>276696049</v>
      </c>
      <c r="D2" t="n">
        <v>54284336</v>
      </c>
      <c r="E2" t="n">
        <v>19.62</v>
      </c>
      <c r="F2" t="n">
        <v>8799380.699999999</v>
      </c>
      <c r="G2" t="n">
        <v>6.17</v>
      </c>
      <c r="H2" t="n">
        <v>5593.96</v>
      </c>
      <c r="I2" t="n">
        <v>1097.47</v>
      </c>
    </row>
    <row r="3">
      <c r="A3">
        <f>HYPERLINK("https://www.tradingview.com/chart/?symbol=NSE:GRANULES","GRANULES")</f>
        <v/>
      </c>
      <c r="B3" t="n">
        <v>909.3</v>
      </c>
      <c r="C3" t="n">
        <v>7851231</v>
      </c>
      <c r="D3" t="n">
        <v>4839089</v>
      </c>
      <c r="E3" t="n">
        <v>61.63</v>
      </c>
      <c r="F3" t="n">
        <v>403487.2333333333</v>
      </c>
      <c r="G3" t="n">
        <v>11.99</v>
      </c>
      <c r="H3" t="n">
        <v>713.91</v>
      </c>
      <c r="I3" t="n">
        <v>440.02</v>
      </c>
    </row>
    <row r="4">
      <c r="A4">
        <f>HYPERLINK("https://www.tradingview.com/chart/?symbol=NSE:COCHINSHIP","COCHINSHIP")</f>
        <v/>
      </c>
      <c r="B4" t="n">
        <v>1381</v>
      </c>
      <c r="C4" t="n">
        <v>6390480</v>
      </c>
      <c r="D4" t="n">
        <v>2401110</v>
      </c>
      <c r="E4" t="n">
        <v>37.57</v>
      </c>
      <c r="F4" t="n">
        <v>341740.6</v>
      </c>
      <c r="G4" t="n">
        <v>7.03</v>
      </c>
      <c r="H4" t="n">
        <v>882.53</v>
      </c>
      <c r="I4" t="n">
        <v>331.59</v>
      </c>
    </row>
    <row r="5">
      <c r="A5">
        <f>HYPERLINK("https://www.tradingview.com/chart/?symbol=NSE:BLACKBUCK","BLACKBUCK")</f>
        <v/>
      </c>
      <c r="B5" t="n">
        <v>628.15</v>
      </c>
      <c r="C5" t="n">
        <v>4433382</v>
      </c>
      <c r="D5" t="n">
        <v>1688006</v>
      </c>
      <c r="E5" t="n">
        <v>38.07</v>
      </c>
      <c r="F5" t="n">
        <v>194629.9</v>
      </c>
      <c r="G5" t="n">
        <v>8.67</v>
      </c>
      <c r="H5" t="n">
        <v>278.48</v>
      </c>
      <c r="I5" t="n">
        <v>106.03</v>
      </c>
    </row>
    <row r="6">
      <c r="A6">
        <f>HYPERLINK("https://www.tradingview.com/chart/?symbol=NSE:SMSPHARMA","SMSPHARMA")</f>
        <v/>
      </c>
      <c r="B6" t="n">
        <v>463.45</v>
      </c>
      <c r="C6" t="n">
        <v>10401534</v>
      </c>
      <c r="D6" t="n">
        <v>1502891</v>
      </c>
      <c r="E6" t="n">
        <v>14.45</v>
      </c>
      <c r="F6" t="n">
        <v>135193.4333333333</v>
      </c>
      <c r="G6" t="n">
        <v>11.12</v>
      </c>
      <c r="H6" t="n">
        <v>482.06</v>
      </c>
      <c r="I6" t="n">
        <v>69.65000000000001</v>
      </c>
    </row>
    <row r="7">
      <c r="A7">
        <f>HYPERLINK("https://www.tradingview.com/chart/?symbol=NSE:HDFCNIFTY","HDFCNIFTY")</f>
        <v/>
      </c>
      <c r="B7" t="n">
        <v>263.79</v>
      </c>
      <c r="C7" t="n">
        <v>3460871</v>
      </c>
      <c r="D7" t="n">
        <v>2460006</v>
      </c>
      <c r="E7" t="n">
        <v>71.08</v>
      </c>
      <c r="F7" t="n">
        <v>149852.2666666667</v>
      </c>
      <c r="G7" t="n">
        <v>16.42</v>
      </c>
      <c r="H7" t="n">
        <v>91.29000000000001</v>
      </c>
      <c r="I7" t="n">
        <v>64.89</v>
      </c>
    </row>
    <row r="8">
      <c r="A8">
        <f>HYPERLINK("https://www.tradingview.com/chart/?symbol=NSE:MOBIKWIK","MOBIKWIK")</f>
        <v/>
      </c>
      <c r="B8" t="n">
        <v>209.7</v>
      </c>
      <c r="C8" t="n">
        <v>18106631</v>
      </c>
      <c r="D8" t="n">
        <v>2699938</v>
      </c>
      <c r="E8" t="n">
        <v>14.91</v>
      </c>
      <c r="F8" t="n">
        <v>378563.3666666666</v>
      </c>
      <c r="G8" t="n">
        <v>7.13</v>
      </c>
      <c r="H8" t="n">
        <v>379.7</v>
      </c>
      <c r="I8" t="n">
        <v>56.62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2026-09-13T21:06:24Z</dcterms:created>
  <dcterms:modified xsi:type="dcterms:W3CDTF">2026-09-13T21:06:24Z</dcterms:modified>
</cp:coreProperties>
</file>