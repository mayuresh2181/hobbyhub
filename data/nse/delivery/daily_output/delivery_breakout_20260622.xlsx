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HYPERLINK("https://www.tradingview.com/chart/?symbol=NSE:NIACL","NIACL")</f>
        <v/>
      </c>
      <c r="B2" t="n">
        <v>4360880</v>
      </c>
      <c r="C2" t="n">
        <v>573715.275862069</v>
      </c>
      <c r="D2" t="n">
        <v>7.6</v>
      </c>
    </row>
    <row r="3">
      <c r="A3">
        <f>HYPERLINK("https://www.tradingview.com/chart/?symbol=NSE:CLEAN","CLEAN")</f>
        <v/>
      </c>
      <c r="B3" t="n">
        <v>634621</v>
      </c>
      <c r="C3" t="n">
        <v>90546.13793103448</v>
      </c>
      <c r="D3" t="n">
        <v>7.01</v>
      </c>
    </row>
    <row r="4">
      <c r="A4">
        <f>HYPERLINK("https://www.tradingview.com/chart/?symbol=NSE:BHARTIHEXA","BHARTIHEXA")</f>
        <v/>
      </c>
      <c r="B4" t="n">
        <v>400158</v>
      </c>
      <c r="C4" t="n">
        <v>61940.72413793104</v>
      </c>
      <c r="D4" t="n">
        <v>6.46</v>
      </c>
    </row>
    <row r="5">
      <c r="A5">
        <f>HYPERLINK("https://www.tradingview.com/chart/?symbol=NSE:BAYERCROP","BAYERCROP")</f>
        <v/>
      </c>
      <c r="B5" t="n">
        <v>92466</v>
      </c>
      <c r="C5" t="n">
        <v>17537.31034482759</v>
      </c>
      <c r="D5" t="n">
        <v>5.27</v>
      </c>
    </row>
    <row r="6">
      <c r="A6">
        <f>HYPERLINK("https://www.tradingview.com/chart/?symbol=NSE:CRAFTSMAN","CRAFTSMAN")</f>
        <v/>
      </c>
      <c r="B6" t="n">
        <v>152171</v>
      </c>
      <c r="C6" t="n">
        <v>32730.79310344828</v>
      </c>
      <c r="D6" t="n">
        <v>4.65</v>
      </c>
    </row>
    <row r="7">
      <c r="A7">
        <f>HYPERLINK("https://www.tradingview.com/chart/?symbol=NSE:SWANCORP","SWANCORP")</f>
        <v/>
      </c>
      <c r="B7" t="n">
        <v>1140803</v>
      </c>
      <c r="C7" t="n">
        <v>260156.1379310345</v>
      </c>
      <c r="D7" t="n">
        <v>4.39</v>
      </c>
    </row>
    <row r="8">
      <c r="A8">
        <f>HYPERLINK("https://www.tradingview.com/chart/?symbol=NSE:SUMICHEM","SUMICHEM")</f>
        <v/>
      </c>
      <c r="B8" t="n">
        <v>669345</v>
      </c>
      <c r="C8" t="n">
        <v>168637.7586206897</v>
      </c>
      <c r="D8" t="n">
        <v>3.97</v>
      </c>
    </row>
    <row r="9">
      <c r="A9">
        <f>HYPERLINK("https://www.tradingview.com/chart/?symbol=NSE:INDIAMART","INDIAMART")</f>
        <v/>
      </c>
      <c r="B9" t="n">
        <v>194840</v>
      </c>
      <c r="C9" t="n">
        <v>50547.10344827586</v>
      </c>
      <c r="D9" t="n">
        <v>3.85</v>
      </c>
    </row>
    <row r="10">
      <c r="A10">
        <f>HYPERLINK("https://www.tradingview.com/chart/?symbol=NSE:LEMONTREE","LEMONTREE")</f>
        <v/>
      </c>
      <c r="B10" t="n">
        <v>5934963</v>
      </c>
      <c r="C10" t="n">
        <v>1588652.931034483</v>
      </c>
      <c r="D10" t="n">
        <v>3.74</v>
      </c>
    </row>
    <row r="11">
      <c r="A11">
        <f>HYPERLINK("https://www.tradingview.com/chart/?symbol=NSE:NCC","NCC")</f>
        <v/>
      </c>
      <c r="B11" t="n">
        <v>3880554</v>
      </c>
      <c r="C11" t="n">
        <v>1037883.965517241</v>
      </c>
      <c r="D11" t="n">
        <v>3.74</v>
      </c>
    </row>
    <row r="12">
      <c r="A12">
        <f>HYPERLINK("https://www.tradingview.com/chart/?symbol=NSE:ZYDUSWELL","ZYDUSWELL")</f>
        <v/>
      </c>
      <c r="B12" t="n">
        <v>493376</v>
      </c>
      <c r="C12" t="n">
        <v>132444.8965517241</v>
      </c>
      <c r="D12" t="n">
        <v>3.73</v>
      </c>
    </row>
    <row r="13">
      <c r="A13">
        <f>HYPERLINK("https://www.tradingview.com/chart/?symbol=NSE:DELHIVERY","DELHIVERY")</f>
        <v/>
      </c>
      <c r="B13" t="n">
        <v>4297024</v>
      </c>
      <c r="C13" t="n">
        <v>1190733.965517241</v>
      </c>
      <c r="D13" t="n">
        <v>3.61</v>
      </c>
    </row>
    <row r="14">
      <c r="A14">
        <f>HYPERLINK("https://www.tradingview.com/chart/?symbol=NSE:BBTC","BBTC")</f>
        <v/>
      </c>
      <c r="B14" t="n">
        <v>60286</v>
      </c>
      <c r="C14" t="n">
        <v>16734.13793103448</v>
      </c>
      <c r="D14" t="n">
        <v>3.6</v>
      </c>
    </row>
    <row r="15">
      <c r="A15">
        <f>HYPERLINK("https://www.tradingview.com/chart/?symbol=NSE:TIMKEN","TIMKEN")</f>
        <v/>
      </c>
      <c r="B15" t="n">
        <v>167452</v>
      </c>
      <c r="C15" t="n">
        <v>48052</v>
      </c>
      <c r="D15" t="n">
        <v>3.48</v>
      </c>
    </row>
    <row r="16">
      <c r="A16">
        <f>HYPERLINK("https://www.tradingview.com/chart/?symbol=NSE:KIMS","KIMS")</f>
        <v/>
      </c>
      <c r="B16" t="n">
        <v>985347</v>
      </c>
      <c r="C16" t="n">
        <v>291813.3103448276</v>
      </c>
      <c r="D16" t="n">
        <v>3.38</v>
      </c>
    </row>
    <row r="17">
      <c r="A17">
        <f>HYPERLINK("https://www.tradingview.com/chart/?symbol=NSE:BAJAJHLDNG","BAJAJHLDNG")</f>
        <v/>
      </c>
      <c r="B17" t="n">
        <v>67264</v>
      </c>
      <c r="C17" t="n">
        <v>20822.17241379311</v>
      </c>
      <c r="D17" t="n">
        <v>3.23</v>
      </c>
    </row>
    <row r="18">
      <c r="A18">
        <f>HYPERLINK("https://www.tradingview.com/chart/?symbol=NSE:AAVAS","AAVAS")</f>
        <v/>
      </c>
      <c r="B18" t="n">
        <v>320744</v>
      </c>
      <c r="C18" t="n">
        <v>101326.6551724138</v>
      </c>
      <c r="D18" t="n">
        <v>3.17</v>
      </c>
    </row>
    <row r="19">
      <c r="A19">
        <f>HYPERLINK("https://www.tradingview.com/chart/?symbol=NSE:ACE","ACE")</f>
        <v/>
      </c>
      <c r="B19" t="n">
        <v>453562</v>
      </c>
      <c r="C19" t="n">
        <v>145205.2068965517</v>
      </c>
      <c r="D19" t="n">
        <v>3.12</v>
      </c>
    </row>
    <row r="20">
      <c r="A20">
        <f>HYPERLINK("https://www.tradingview.com/chart/?symbol=NSE:ABCAPITAL","ABCAPITAL")</f>
        <v/>
      </c>
      <c r="B20" t="n">
        <v>5539233</v>
      </c>
      <c r="C20" t="n">
        <v>1815726.586206896</v>
      </c>
      <c r="D20" t="n">
        <v>3.05</v>
      </c>
    </row>
    <row r="21">
      <c r="A21">
        <f>HYPERLINK("https://www.tradingview.com/chart/?symbol=NSE:TATACOMM","TATACOMM")</f>
        <v/>
      </c>
      <c r="B21" t="n">
        <v>1145043</v>
      </c>
      <c r="C21" t="n">
        <v>380364.4827586207</v>
      </c>
      <c r="D21" t="n">
        <v>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2026-06-23T20:36:59Z</dcterms:created>
  <dcterms:modified xsi:type="dcterms:W3CDTF">2026-06-23T20:36:59Z</dcterms:modified>
</cp:coreProperties>
</file>