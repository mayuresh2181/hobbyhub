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HYPERLINK("https://www.tradingview.com/chart/?symbol=NSE:HINDCOPPER","HINDCOPPER")</f>
        <v/>
      </c>
      <c r="B2" t="n">
        <v>532.65</v>
      </c>
      <c r="C2" t="n">
        <v>44652248</v>
      </c>
      <c r="D2" t="n">
        <v>18234174</v>
      </c>
      <c r="E2" t="n">
        <v>40.84</v>
      </c>
      <c r="F2" t="n">
        <v>2725965.166666667</v>
      </c>
      <c r="G2" t="n">
        <v>6.69</v>
      </c>
      <c r="H2" t="n">
        <v>2378.4</v>
      </c>
      <c r="I2" t="n">
        <v>971.24</v>
      </c>
    </row>
    <row r="3">
      <c r="A3">
        <f>HYPERLINK("https://www.tradingview.com/chart/?symbol=NSE:SHREECEM","SHREECEM")</f>
        <v/>
      </c>
      <c r="B3" t="n">
        <v>24440</v>
      </c>
      <c r="C3" t="n">
        <v>126056</v>
      </c>
      <c r="D3" t="n">
        <v>110190</v>
      </c>
      <c r="E3" t="n">
        <v>87.41</v>
      </c>
      <c r="F3" t="n">
        <v>10980.16666666667</v>
      </c>
      <c r="G3" t="n">
        <v>10.04</v>
      </c>
      <c r="H3" t="n">
        <v>308.08</v>
      </c>
      <c r="I3" t="n">
        <v>269.3</v>
      </c>
    </row>
    <row r="4">
      <c r="A4">
        <f>HYPERLINK("https://www.tradingview.com/chart/?symbol=NSE:MANYAVAR","MANYAVAR")</f>
        <v/>
      </c>
      <c r="B4" t="n">
        <v>536.5</v>
      </c>
      <c r="C4" t="n">
        <v>3852349</v>
      </c>
      <c r="D4" t="n">
        <v>3722846</v>
      </c>
      <c r="E4" t="n">
        <v>96.64</v>
      </c>
      <c r="F4" t="n">
        <v>316570.2666666667</v>
      </c>
      <c r="G4" t="n">
        <v>11.76</v>
      </c>
      <c r="H4" t="n">
        <v>206.68</v>
      </c>
      <c r="I4" t="n">
        <v>199.73</v>
      </c>
    </row>
    <row r="5">
      <c r="A5">
        <f>HYPERLINK("https://www.tradingview.com/chart/?symbol=NSE:ZFCVINDIA","ZFCVINDIA")</f>
        <v/>
      </c>
      <c r="B5" t="n">
        <v>2603</v>
      </c>
      <c r="C5" t="n">
        <v>650642</v>
      </c>
      <c r="D5" t="n">
        <v>565542</v>
      </c>
      <c r="E5" t="n">
        <v>86.92</v>
      </c>
      <c r="F5" t="n">
        <v>83802.60000000001</v>
      </c>
      <c r="G5" t="n">
        <v>6.75</v>
      </c>
      <c r="H5" t="n">
        <v>169.36</v>
      </c>
      <c r="I5" t="n">
        <v>147.21</v>
      </c>
    </row>
    <row r="6">
      <c r="A6">
        <f>HYPERLINK("https://www.tradingview.com/chart/?symbol=NSE:RPTECH","RPTECH")</f>
        <v/>
      </c>
      <c r="B6" t="n">
        <v>779.45</v>
      </c>
      <c r="C6" t="n">
        <v>4681855</v>
      </c>
      <c r="D6" t="n">
        <v>1438522</v>
      </c>
      <c r="E6" t="n">
        <v>30.73</v>
      </c>
      <c r="F6" t="n">
        <v>208815.8666666667</v>
      </c>
      <c r="G6" t="n">
        <v>6.89</v>
      </c>
      <c r="H6" t="n">
        <v>364.93</v>
      </c>
      <c r="I6" t="n">
        <v>112.13</v>
      </c>
    </row>
    <row r="7">
      <c r="A7">
        <f>HYPERLINK("https://www.tradingview.com/chart/?symbol=NSE:FACT","FACT")</f>
        <v/>
      </c>
      <c r="B7" t="n">
        <v>876.1</v>
      </c>
      <c r="C7" t="n">
        <v>34307227</v>
      </c>
      <c r="D7" t="n">
        <v>1177581</v>
      </c>
      <c r="E7" t="n">
        <v>3.43</v>
      </c>
      <c r="F7" t="n">
        <v>29909.4</v>
      </c>
      <c r="G7" t="n">
        <v>39.37</v>
      </c>
      <c r="H7" t="n">
        <v>3005.66</v>
      </c>
      <c r="I7" t="n">
        <v>103.17</v>
      </c>
    </row>
    <row r="8">
      <c r="A8">
        <f>HYPERLINK("https://www.tradingview.com/chart/?symbol=NSE:BANKNIFTY1","BANKNIFTY1")</f>
        <v/>
      </c>
      <c r="B8" t="n">
        <v>59.61</v>
      </c>
      <c r="C8" t="n">
        <v>16563254</v>
      </c>
      <c r="D8" t="n">
        <v>16346798</v>
      </c>
      <c r="E8" t="n">
        <v>98.69</v>
      </c>
      <c r="F8" t="n">
        <v>772076.2333333333</v>
      </c>
      <c r="G8" t="n">
        <v>21.17</v>
      </c>
      <c r="H8" t="n">
        <v>98.73</v>
      </c>
      <c r="I8" t="n">
        <v>97.44</v>
      </c>
    </row>
    <row r="9">
      <c r="A9">
        <f>HYPERLINK("https://www.tradingview.com/chart/?symbol=NSE:APTUS","APTUS")</f>
        <v/>
      </c>
      <c r="B9" t="n">
        <v>254.4</v>
      </c>
      <c r="C9" t="n">
        <v>5103135</v>
      </c>
      <c r="D9" t="n">
        <v>2965260</v>
      </c>
      <c r="E9" t="n">
        <v>58.11</v>
      </c>
      <c r="F9" t="n">
        <v>530189.7333333333</v>
      </c>
      <c r="G9" t="n">
        <v>5.59</v>
      </c>
      <c r="H9" t="n">
        <v>129.82</v>
      </c>
      <c r="I9" t="n">
        <v>75.44</v>
      </c>
    </row>
    <row r="10">
      <c r="A10">
        <f>HYPERLINK("https://www.tradingview.com/chart/?symbol=NSE:FMGOETZE","FMGOETZE")</f>
        <v/>
      </c>
      <c r="B10" t="n">
        <v>534.1</v>
      </c>
      <c r="C10" t="n">
        <v>20771319</v>
      </c>
      <c r="D10" t="n">
        <v>1224824</v>
      </c>
      <c r="E10" t="n">
        <v>5.9</v>
      </c>
      <c r="F10" t="n">
        <v>32459.1</v>
      </c>
      <c r="G10" t="n">
        <v>37.73</v>
      </c>
      <c r="H10" t="n">
        <v>1109.4</v>
      </c>
      <c r="I10" t="n">
        <v>65.42</v>
      </c>
    </row>
    <row r="11">
      <c r="A11">
        <f>HYPERLINK("https://www.tradingview.com/chart/?symbol=NSE:ENTERO","ENTERO")</f>
        <v/>
      </c>
      <c r="B11" t="n">
        <v>1633</v>
      </c>
      <c r="C11" t="n">
        <v>2229594</v>
      </c>
      <c r="D11" t="n">
        <v>380504</v>
      </c>
      <c r="E11" t="n">
        <v>17.07</v>
      </c>
      <c r="F11" t="n">
        <v>75028.26666666666</v>
      </c>
      <c r="G11" t="n">
        <v>5.07</v>
      </c>
      <c r="H11" t="n">
        <v>364.09</v>
      </c>
      <c r="I11" t="n">
        <v>62.14</v>
      </c>
    </row>
    <row r="12">
      <c r="A12">
        <f>HYPERLINK("https://www.tradingview.com/chart/?symbol=NSE:COROMANDEL","COROMANDEL")</f>
        <v/>
      </c>
      <c r="B12" t="n">
        <v>1913.6</v>
      </c>
      <c r="C12" t="n">
        <v>470177</v>
      </c>
      <c r="D12" t="n">
        <v>316370</v>
      </c>
      <c r="E12" t="n">
        <v>67.29000000000001</v>
      </c>
      <c r="F12" t="n">
        <v>63199.66666666666</v>
      </c>
      <c r="G12" t="n">
        <v>5.01</v>
      </c>
      <c r="H12" t="n">
        <v>89.97</v>
      </c>
      <c r="I12" t="n">
        <v>60.54</v>
      </c>
    </row>
    <row r="13">
      <c r="A13">
        <f>HYPERLINK("https://www.tradingview.com/chart/?symbol=NSE:RATNAMANI","RATNAMANI")</f>
        <v/>
      </c>
      <c r="B13" t="n">
        <v>2711.5</v>
      </c>
      <c r="C13" t="n">
        <v>1008208</v>
      </c>
      <c r="D13" t="n">
        <v>205099</v>
      </c>
      <c r="E13" t="n">
        <v>20.34</v>
      </c>
      <c r="F13" t="n">
        <v>29762.66666666667</v>
      </c>
      <c r="G13" t="n">
        <v>6.89</v>
      </c>
      <c r="H13" t="n">
        <v>273.38</v>
      </c>
      <c r="I13" t="n">
        <v>55.61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2026-08-25T19:14:33Z</dcterms:created>
  <dcterms:modified xsi:type="dcterms:W3CDTF">2026-08-25T19:14:33Z</dcterms:modified>
</cp:coreProperties>
</file>