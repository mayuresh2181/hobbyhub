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HYPERLINK("https://www.tradingview.com/chart/?symbol=NSE:PPLPHARMA","PPLPHARMA")</f>
        <v/>
      </c>
      <c r="B2" t="n">
        <v>232.8</v>
      </c>
      <c r="C2" t="n">
        <v>118072228</v>
      </c>
      <c r="D2" t="n">
        <v>18590097</v>
      </c>
      <c r="E2" t="n">
        <v>15.74</v>
      </c>
      <c r="F2" t="n">
        <v>1077377.766666667</v>
      </c>
      <c r="G2" t="n">
        <v>17.25</v>
      </c>
      <c r="H2" t="n">
        <v>2748.72</v>
      </c>
      <c r="I2" t="n">
        <v>432.78</v>
      </c>
    </row>
    <row r="3">
      <c r="A3">
        <f>HYPERLINK("https://www.tradingview.com/chart/?symbol=NSE:CARTRADE","CARTRADE")</f>
        <v/>
      </c>
      <c r="B3" t="n">
        <v>2464.5</v>
      </c>
      <c r="C3" t="n">
        <v>4862612</v>
      </c>
      <c r="D3" t="n">
        <v>1134765</v>
      </c>
      <c r="E3" t="n">
        <v>23.34</v>
      </c>
      <c r="F3" t="n">
        <v>116960.8</v>
      </c>
      <c r="G3" t="n">
        <v>9.699999999999999</v>
      </c>
      <c r="H3" t="n">
        <v>1198.39</v>
      </c>
      <c r="I3" t="n">
        <v>279.66</v>
      </c>
    </row>
    <row r="4">
      <c r="A4">
        <f>HYPERLINK("https://www.tradingview.com/chart/?symbol=NSE:SETFGOLD","SETFGOLD")</f>
        <v/>
      </c>
      <c r="B4" t="n">
        <v>120.79</v>
      </c>
      <c r="C4" t="n">
        <v>18680652</v>
      </c>
      <c r="D4" t="n">
        <v>17398692</v>
      </c>
      <c r="E4" t="n">
        <v>93.14</v>
      </c>
      <c r="F4" t="n">
        <v>2919846.8</v>
      </c>
      <c r="G4" t="n">
        <v>5.96</v>
      </c>
      <c r="H4" t="n">
        <v>225.64</v>
      </c>
      <c r="I4" t="n">
        <v>210.16</v>
      </c>
    </row>
    <row r="5">
      <c r="A5">
        <f>HYPERLINK("https://www.tradingview.com/chart/?symbol=NSE:SYNGENE","SYNGENE")</f>
        <v/>
      </c>
      <c r="B5" t="n">
        <v>410.85</v>
      </c>
      <c r="C5" t="n">
        <v>32965479</v>
      </c>
      <c r="D5" t="n">
        <v>4586751</v>
      </c>
      <c r="E5" t="n">
        <v>13.91</v>
      </c>
      <c r="F5" t="n">
        <v>402907</v>
      </c>
      <c r="G5" t="n">
        <v>11.38</v>
      </c>
      <c r="H5" t="n">
        <v>1354.39</v>
      </c>
      <c r="I5" t="n">
        <v>188.45</v>
      </c>
    </row>
    <row r="6">
      <c r="A6">
        <f>HYPERLINK("https://www.tradingview.com/chart/?symbol=NSE:ONESOURCE","ONESOURCE")</f>
        <v/>
      </c>
      <c r="B6" t="n">
        <v>1577.6</v>
      </c>
      <c r="C6" t="n">
        <v>3811761</v>
      </c>
      <c r="D6" t="n">
        <v>1044386</v>
      </c>
      <c r="E6" t="n">
        <v>27.4</v>
      </c>
      <c r="F6" t="n">
        <v>154861.4</v>
      </c>
      <c r="G6" t="n">
        <v>6.74</v>
      </c>
      <c r="H6" t="n">
        <v>601.34</v>
      </c>
      <c r="I6" t="n">
        <v>164.76</v>
      </c>
    </row>
    <row r="7">
      <c r="A7">
        <f>HYPERLINK("https://www.tradingview.com/chart/?symbol=NSE:UBL","UBL")</f>
        <v/>
      </c>
      <c r="B7" t="n">
        <v>1197.6</v>
      </c>
      <c r="C7" t="n">
        <v>4831652</v>
      </c>
      <c r="D7" t="n">
        <v>784199</v>
      </c>
      <c r="E7" t="n">
        <v>16.23</v>
      </c>
      <c r="F7" t="n">
        <v>145371.4333333333</v>
      </c>
      <c r="G7" t="n">
        <v>5.39</v>
      </c>
      <c r="H7" t="n">
        <v>578.64</v>
      </c>
      <c r="I7" t="n">
        <v>93.92</v>
      </c>
    </row>
    <row r="8">
      <c r="A8">
        <f>HYPERLINK("https://www.tradingview.com/chart/?symbol=NSE:TITAGARH","TITAGARH")</f>
        <v/>
      </c>
      <c r="B8" t="n">
        <v>692.5</v>
      </c>
      <c r="C8" t="n">
        <v>4010480</v>
      </c>
      <c r="D8" t="n">
        <v>899835</v>
      </c>
      <c r="E8" t="n">
        <v>22.44</v>
      </c>
      <c r="F8" t="n">
        <v>144156.0666666667</v>
      </c>
      <c r="G8" t="n">
        <v>6.24</v>
      </c>
      <c r="H8" t="n">
        <v>277.73</v>
      </c>
      <c r="I8" t="n">
        <v>62.31</v>
      </c>
    </row>
    <row r="9">
      <c r="A9">
        <f>HYPERLINK("https://www.tradingview.com/chart/?symbol=NSE:GANDHAR","GANDHAR")</f>
        <v/>
      </c>
      <c r="B9" t="n">
        <v>260.65</v>
      </c>
      <c r="C9" t="n">
        <v>8200916</v>
      </c>
      <c r="D9" t="n">
        <v>2374789</v>
      </c>
      <c r="E9" t="n">
        <v>28.96</v>
      </c>
      <c r="F9" t="n">
        <v>384710.5</v>
      </c>
      <c r="G9" t="n">
        <v>6.17</v>
      </c>
      <c r="H9" t="n">
        <v>213.76</v>
      </c>
      <c r="I9" t="n">
        <v>61.9</v>
      </c>
    </row>
    <row r="10">
      <c r="A10">
        <f>HYPERLINK("https://www.tradingview.com/chart/?symbol=NSE:JUBLINGREA","JUBLINGREA")</f>
        <v/>
      </c>
      <c r="B10" t="n">
        <v>593.6</v>
      </c>
      <c r="C10" t="n">
        <v>2100448</v>
      </c>
      <c r="D10" t="n">
        <v>1037584</v>
      </c>
      <c r="E10" t="n">
        <v>49.4</v>
      </c>
      <c r="F10" t="n">
        <v>132424.2</v>
      </c>
      <c r="G10" t="n">
        <v>7.84</v>
      </c>
      <c r="H10" t="n">
        <v>124.68</v>
      </c>
      <c r="I10" t="n">
        <v>61.59</v>
      </c>
    </row>
    <row r="11">
      <c r="A11">
        <f>HYPERLINK("https://www.tradingview.com/chart/?symbol=NSE:KPRMILL","KPRMILL")</f>
        <v/>
      </c>
      <c r="B11" t="n">
        <v>1091.5</v>
      </c>
      <c r="C11" t="n">
        <v>1613857</v>
      </c>
      <c r="D11" t="n">
        <v>467813</v>
      </c>
      <c r="E11" t="n">
        <v>28.99</v>
      </c>
      <c r="F11" t="n">
        <v>78232.36666666667</v>
      </c>
      <c r="G11" t="n">
        <v>5.98</v>
      </c>
      <c r="H11" t="n">
        <v>176.15</v>
      </c>
      <c r="I11" t="n">
        <v>51.06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2026-10-28T22:49:24Z</dcterms:created>
  <dcterms:modified xsi:type="dcterms:W3CDTF">2026-10-28T22:49:24Z</dcterms:modified>
</cp:coreProperties>
</file>