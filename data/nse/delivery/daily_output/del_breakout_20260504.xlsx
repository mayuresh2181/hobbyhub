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HYPERLINK("https://www.tradingview.com/chart/?symbol=NSE:RRKABEL", "RRKABEL")</f>
        <v/>
      </c>
      <c r="B2" t="n">
        <v>1106828</v>
      </c>
      <c r="C2" t="n">
        <v>173172.2</v>
      </c>
      <c r="D2" t="n">
        <v>6.39</v>
      </c>
    </row>
    <row r="3">
      <c r="A3">
        <f>HYPERLINK("https://www.tradingview.com/chart/?symbol=NSE:LALPATHLAB", "LALPATHLAB")</f>
        <v/>
      </c>
      <c r="B3" t="n">
        <v>1311754</v>
      </c>
      <c r="C3" t="n">
        <v>243858.5</v>
      </c>
      <c r="D3" t="n">
        <v>5.38</v>
      </c>
    </row>
    <row r="4">
      <c r="A4">
        <f>HYPERLINK("https://www.tradingview.com/chart/?symbol=NSE:CEMPRO", "CEMPRO")</f>
        <v/>
      </c>
      <c r="B4" t="n">
        <v>2047967</v>
      </c>
      <c r="C4" t="n">
        <v>393700.5333333333</v>
      </c>
      <c r="D4" t="n">
        <v>5.2</v>
      </c>
    </row>
    <row r="5">
      <c r="A5">
        <f>HYPERLINK("https://www.tradingview.com/chart/?symbol=NSE:CESC", "CESC")</f>
        <v/>
      </c>
      <c r="B5" t="n">
        <v>6410252</v>
      </c>
      <c r="C5" t="n">
        <v>1305414.7</v>
      </c>
      <c r="D5" t="n">
        <v>4.91</v>
      </c>
    </row>
    <row r="6">
      <c r="A6">
        <f>HYPERLINK("https://www.tradingview.com/chart/?symbol=NSE:ASTERDM", "ASTERDM")</f>
        <v/>
      </c>
      <c r="B6" t="n">
        <v>1641872</v>
      </c>
      <c r="C6" t="n">
        <v>347384.8666666666</v>
      </c>
      <c r="D6" t="n">
        <v>4.73</v>
      </c>
    </row>
    <row r="7">
      <c r="A7">
        <f>HYPERLINK("https://www.tradingview.com/chart/?symbol=NSE:MEESHO", "MEESHO")</f>
        <v/>
      </c>
      <c r="B7" t="n">
        <v>16860948</v>
      </c>
      <c r="C7" t="n">
        <v>3724289.066666667</v>
      </c>
      <c r="D7" t="n">
        <v>4.53</v>
      </c>
    </row>
    <row r="8">
      <c r="A8">
        <f>HYPERLINK("https://www.tradingview.com/chart/?symbol=NSE:CGCL", "CGCL")</f>
        <v/>
      </c>
      <c r="B8" t="n">
        <v>2391692</v>
      </c>
      <c r="C8" t="n">
        <v>639808.1333333333</v>
      </c>
      <c r="D8" t="n">
        <v>3.74</v>
      </c>
    </row>
    <row r="9">
      <c r="A9">
        <f>HYPERLINK("https://www.tradingview.com/chart/?symbol=NSE:CEATLTD", "CEATLTD")</f>
        <v/>
      </c>
      <c r="B9" t="n">
        <v>225807</v>
      </c>
      <c r="C9" t="n">
        <v>63275.66666666666</v>
      </c>
      <c r="D9" t="n">
        <v>3.57</v>
      </c>
    </row>
    <row r="10">
      <c r="A10">
        <f>HYPERLINK("https://www.tradingview.com/chart/?symbol=NSE:FLUOROCHEM", "FLUOROCHEM")</f>
        <v/>
      </c>
      <c r="B10" t="n">
        <v>221903</v>
      </c>
      <c r="C10" t="n">
        <v>63736.7</v>
      </c>
      <c r="D10" t="n">
        <v>3.48</v>
      </c>
    </row>
    <row r="11">
      <c r="A11">
        <f>HYPERLINK("https://www.tradingview.com/chart/?symbol=NSE:NEULANDLAB", "NEULANDLAB")</f>
        <v/>
      </c>
      <c r="B11" t="n">
        <v>53352</v>
      </c>
      <c r="C11" t="n">
        <v>15758.36666666667</v>
      </c>
      <c r="D11" t="n">
        <v>3.39</v>
      </c>
    </row>
    <row r="12">
      <c r="A12">
        <f>HYPERLINK("https://www.tradingview.com/chart/?symbol=NSE:KOTAKBANK", "KOTAKBANK")</f>
        <v/>
      </c>
      <c r="B12" t="n">
        <v>51534409</v>
      </c>
      <c r="C12" t="n">
        <v>15465804.4</v>
      </c>
      <c r="D12" t="n">
        <v>3.33</v>
      </c>
    </row>
    <row r="13">
      <c r="A13">
        <f>HYPERLINK("https://www.tradingview.com/chart/?symbol=NSE:BHEL", "BHEL")</f>
        <v/>
      </c>
      <c r="B13" t="n">
        <v>26625881</v>
      </c>
      <c r="C13" t="n">
        <v>8172119.966666667</v>
      </c>
      <c r="D13" t="n">
        <v>3.26</v>
      </c>
    </row>
    <row r="14">
      <c r="A14">
        <f>HYPERLINK("https://www.tradingview.com/chart/?symbol=NSE:JINDALSTEL", "JINDALSTEL")</f>
        <v/>
      </c>
      <c r="B14" t="n">
        <v>2202310</v>
      </c>
      <c r="C14" t="n">
        <v>713937.7666666667</v>
      </c>
      <c r="D14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2026-05-05T20:00:11Z</dcterms:created>
  <dcterms:modified xsi:type="dcterms:W3CDTF">2026-05-05T20:00:11Z</dcterms:modified>
</cp:coreProperties>
</file>