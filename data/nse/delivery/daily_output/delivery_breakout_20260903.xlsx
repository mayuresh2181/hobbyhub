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HYPERLINK("https://www.tradingview.com/chart/?symbol=NSE:SWIGGY","SWIGGY")</f>
        <v/>
      </c>
      <c r="B2" t="n">
        <v>269.3</v>
      </c>
      <c r="C2" t="n">
        <v>56303392</v>
      </c>
      <c r="D2" t="n">
        <v>35092330</v>
      </c>
      <c r="E2" t="n">
        <v>62.33</v>
      </c>
      <c r="F2" t="n">
        <v>6953451.833333333</v>
      </c>
      <c r="G2" t="n">
        <v>5.05</v>
      </c>
      <c r="H2" t="n">
        <v>1516.25</v>
      </c>
      <c r="I2" t="n">
        <v>945.04</v>
      </c>
    </row>
    <row r="3">
      <c r="A3">
        <f>HYPERLINK("https://www.tradingview.com/chart/?symbol=NSE:AFFLE","AFFLE")</f>
        <v/>
      </c>
      <c r="B3" t="n">
        <v>1519.2</v>
      </c>
      <c r="C3" t="n">
        <v>1325612</v>
      </c>
      <c r="D3" t="n">
        <v>942566</v>
      </c>
      <c r="E3" t="n">
        <v>71.09999999999999</v>
      </c>
      <c r="F3" t="n">
        <v>114159.7</v>
      </c>
      <c r="G3" t="n">
        <v>8.26</v>
      </c>
      <c r="H3" t="n">
        <v>201.39</v>
      </c>
      <c r="I3" t="n">
        <v>143.19</v>
      </c>
    </row>
    <row r="4">
      <c r="A4">
        <f>HYPERLINK("https://www.tradingview.com/chart/?symbol=NSE:SILVER1","SILVER1")</f>
        <v/>
      </c>
      <c r="B4" t="n">
        <v>22.28</v>
      </c>
      <c r="C4" t="n">
        <v>78929377</v>
      </c>
      <c r="D4" t="n">
        <v>60669267</v>
      </c>
      <c r="E4" t="n">
        <v>76.87</v>
      </c>
      <c r="F4" t="n">
        <v>3345334.966666667</v>
      </c>
      <c r="G4" t="n">
        <v>18.14</v>
      </c>
      <c r="H4" t="n">
        <v>175.85</v>
      </c>
      <c r="I4" t="n">
        <v>135.17</v>
      </c>
    </row>
    <row r="5">
      <c r="A5">
        <f>HYPERLINK("https://www.tradingview.com/chart/?symbol=NSE:ANTELOPUS","ANTELOPUS")</f>
        <v/>
      </c>
      <c r="B5" t="n">
        <v>1013.3</v>
      </c>
      <c r="C5" t="n">
        <v>19196421</v>
      </c>
      <c r="D5" t="n">
        <v>1246974</v>
      </c>
      <c r="E5" t="n">
        <v>6.5</v>
      </c>
      <c r="F5" t="n">
        <v>102641.9</v>
      </c>
      <c r="G5" t="n">
        <v>12.15</v>
      </c>
      <c r="H5" t="n">
        <v>1945.17</v>
      </c>
      <c r="I5" t="n">
        <v>126.36</v>
      </c>
    </row>
    <row r="6">
      <c r="A6">
        <f>HYPERLINK("https://www.tradingview.com/chart/?symbol=NSE:RAYMOND","RAYMOND")</f>
        <v/>
      </c>
      <c r="B6" t="n">
        <v>757.9</v>
      </c>
      <c r="C6" t="n">
        <v>16593917</v>
      </c>
      <c r="D6" t="n">
        <v>1546754</v>
      </c>
      <c r="E6" t="n">
        <v>9.32</v>
      </c>
      <c r="F6" t="n">
        <v>240851.3</v>
      </c>
      <c r="G6" t="n">
        <v>6.42</v>
      </c>
      <c r="H6" t="n">
        <v>1257.65</v>
      </c>
      <c r="I6" t="n">
        <v>117.23</v>
      </c>
    </row>
    <row r="7">
      <c r="A7">
        <f>HYPERLINK("https://www.tradingview.com/chart/?symbol=NSE:HEXT","HEXT")</f>
        <v/>
      </c>
      <c r="B7" t="n">
        <v>529.1</v>
      </c>
      <c r="C7" t="n">
        <v>2916864</v>
      </c>
      <c r="D7" t="n">
        <v>1852152</v>
      </c>
      <c r="E7" t="n">
        <v>63.5</v>
      </c>
      <c r="F7" t="n">
        <v>171971.5333333333</v>
      </c>
      <c r="G7" t="n">
        <v>10.77</v>
      </c>
      <c r="H7" t="n">
        <v>154.33</v>
      </c>
      <c r="I7" t="n">
        <v>98</v>
      </c>
    </row>
    <row r="8">
      <c r="A8">
        <f>HYPERLINK("https://www.tradingview.com/chart/?symbol=NSE:BRIGADE","BRIGADE")</f>
        <v/>
      </c>
      <c r="B8" t="n">
        <v>712.3</v>
      </c>
      <c r="C8" t="n">
        <v>5390980</v>
      </c>
      <c r="D8" t="n">
        <v>1357681</v>
      </c>
      <c r="E8" t="n">
        <v>25.18</v>
      </c>
      <c r="F8" t="n">
        <v>206914.9333333333</v>
      </c>
      <c r="G8" t="n">
        <v>6.56</v>
      </c>
      <c r="H8" t="n">
        <v>384</v>
      </c>
      <c r="I8" t="n">
        <v>96.70999999999999</v>
      </c>
    </row>
    <row r="9">
      <c r="A9">
        <f>HYPERLINK("https://www.tradingview.com/chart/?symbol=NSE:CAPLIPOINT","CAPLIPOINT")</f>
        <v/>
      </c>
      <c r="B9" t="n">
        <v>2845</v>
      </c>
      <c r="C9" t="n">
        <v>840705</v>
      </c>
      <c r="D9" t="n">
        <v>245768</v>
      </c>
      <c r="E9" t="n">
        <v>29.23</v>
      </c>
      <c r="F9" t="n">
        <v>48380.33333333334</v>
      </c>
      <c r="G9" t="n">
        <v>5.08</v>
      </c>
      <c r="H9" t="n">
        <v>239.18</v>
      </c>
      <c r="I9" t="n">
        <v>69.92</v>
      </c>
    </row>
    <row r="10">
      <c r="A10">
        <f>HYPERLINK("https://www.tradingview.com/chart/?symbol=NSE:JINDWORLD","JINDWORLD")</f>
        <v/>
      </c>
      <c r="B10" t="n">
        <v>48.15</v>
      </c>
      <c r="C10" t="n">
        <v>110819795</v>
      </c>
      <c r="D10" t="n">
        <v>14468401</v>
      </c>
      <c r="E10" t="n">
        <v>13.06</v>
      </c>
      <c r="F10" t="n">
        <v>1591594.3</v>
      </c>
      <c r="G10" t="n">
        <v>9.09</v>
      </c>
      <c r="H10" t="n">
        <v>533.6</v>
      </c>
      <c r="I10" t="n">
        <v>69.67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2026-09-03T21:18:06Z</dcterms:created>
  <dcterms:modified xsi:type="dcterms:W3CDTF">2026-09-03T21:18:06Z</dcterms:modified>
</cp:coreProperties>
</file>