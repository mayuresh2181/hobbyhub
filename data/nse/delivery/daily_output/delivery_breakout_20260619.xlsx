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HYPERLINK("https://www.tradingview.com/chart/?symbol=NSE:TATACAP","TATACAP")</f>
        <v/>
      </c>
      <c r="B2" t="n">
        <v>26490918</v>
      </c>
      <c r="C2" t="n">
        <v>1338634.620689655</v>
      </c>
      <c r="D2" t="n">
        <v>19.79</v>
      </c>
    </row>
    <row r="3">
      <c r="A3">
        <f>HYPERLINK("https://www.tradingview.com/chart/?symbol=NSE:LGEINDIA","LGEINDIA")</f>
        <v/>
      </c>
      <c r="B3" t="n">
        <v>4997718</v>
      </c>
      <c r="C3" t="n">
        <v>318639.6551724138</v>
      </c>
      <c r="D3" t="n">
        <v>15.68</v>
      </c>
    </row>
    <row r="4">
      <c r="A4">
        <f>HYPERLINK("https://www.tradingview.com/chart/?symbol=NSE:NIACL","NIACL")</f>
        <v/>
      </c>
      <c r="B4" t="n">
        <v>5301415</v>
      </c>
      <c r="C4" t="n">
        <v>398644.724137931</v>
      </c>
      <c r="D4" t="n">
        <v>13.3</v>
      </c>
    </row>
    <row r="5">
      <c r="A5">
        <f>HYPERLINK("https://www.tradingview.com/chart/?symbol=NSE:HDBFS","HDBFS")</f>
        <v/>
      </c>
      <c r="B5" t="n">
        <v>3184447</v>
      </c>
      <c r="C5" t="n">
        <v>263746.3793103448</v>
      </c>
      <c r="D5" t="n">
        <v>12.07</v>
      </c>
    </row>
    <row r="6">
      <c r="A6">
        <f>HYPERLINK("https://www.tradingview.com/chart/?symbol=NSE:TENNIND","TENNIND")</f>
        <v/>
      </c>
      <c r="B6" t="n">
        <v>4078987</v>
      </c>
      <c r="C6" t="n">
        <v>361829</v>
      </c>
      <c r="D6" t="n">
        <v>11.27</v>
      </c>
    </row>
    <row r="7">
      <c r="A7">
        <f>HYPERLINK("https://www.tradingview.com/chart/?symbol=NSE:AADHARHFC","AADHARHFC")</f>
        <v/>
      </c>
      <c r="B7" t="n">
        <v>2222098</v>
      </c>
      <c r="C7" t="n">
        <v>201373.5172413793</v>
      </c>
      <c r="D7" t="n">
        <v>11.03</v>
      </c>
    </row>
    <row r="8">
      <c r="A8">
        <f>HYPERLINK("https://www.tradingview.com/chart/?symbol=NSE:SPLPETRO","SPLPETRO")</f>
        <v/>
      </c>
      <c r="B8" t="n">
        <v>246295</v>
      </c>
      <c r="C8" t="n">
        <v>26278.51724137931</v>
      </c>
      <c r="D8" t="n">
        <v>9.369999999999999</v>
      </c>
    </row>
    <row r="9">
      <c r="A9">
        <f>HYPERLINK("https://www.tradingview.com/chart/?symbol=NSE:GICRE","GICRE")</f>
        <v/>
      </c>
      <c r="B9" t="n">
        <v>5107676</v>
      </c>
      <c r="C9" t="n">
        <v>550558.3103448276</v>
      </c>
      <c r="D9" t="n">
        <v>9.279999999999999</v>
      </c>
    </row>
    <row r="10">
      <c r="A10">
        <f>HYPERLINK("https://www.tradingview.com/chart/?symbol=NSE:ICICIAMC","ICICIAMC")</f>
        <v/>
      </c>
      <c r="B10" t="n">
        <v>2730232</v>
      </c>
      <c r="C10" t="n">
        <v>323732.6896551724</v>
      </c>
      <c r="D10" t="n">
        <v>8.43</v>
      </c>
    </row>
    <row r="11">
      <c r="A11">
        <f>HYPERLINK("https://www.tradingview.com/chart/?symbol=NSE:TARIL","TARIL")</f>
        <v/>
      </c>
      <c r="B11" t="n">
        <v>6722342</v>
      </c>
      <c r="C11" t="n">
        <v>800791.7931034482</v>
      </c>
      <c r="D11" t="n">
        <v>8.390000000000001</v>
      </c>
    </row>
    <row r="12">
      <c r="A12">
        <f>HYPERLINK("https://www.tradingview.com/chart/?symbol=NSE:ITCHOTELS","ITCHOTELS")</f>
        <v/>
      </c>
      <c r="B12" t="n">
        <v>12808975</v>
      </c>
      <c r="C12" t="n">
        <v>1547385.206896552</v>
      </c>
      <c r="D12" t="n">
        <v>8.279999999999999</v>
      </c>
    </row>
    <row r="13">
      <c r="A13">
        <f>HYPERLINK("https://www.tradingview.com/chart/?symbol=NSE:POONAWALLA","POONAWALLA")</f>
        <v/>
      </c>
      <c r="B13" t="n">
        <v>5063278</v>
      </c>
      <c r="C13" t="n">
        <v>707108.6896551724</v>
      </c>
      <c r="D13" t="n">
        <v>7.16</v>
      </c>
    </row>
    <row r="14">
      <c r="A14">
        <f>HYPERLINK("https://www.tradingview.com/chart/?symbol=NSE:FACT","FACT")</f>
        <v/>
      </c>
      <c r="B14" t="n">
        <v>665468</v>
      </c>
      <c r="C14" t="n">
        <v>100657.0344827586</v>
      </c>
      <c r="D14" t="n">
        <v>6.61</v>
      </c>
    </row>
    <row r="15">
      <c r="A15">
        <f>HYPERLINK("https://www.tradingview.com/chart/?symbol=NSE:LENSKART","LENSKART")</f>
        <v/>
      </c>
      <c r="B15" t="n">
        <v>24436662</v>
      </c>
      <c r="C15" t="n">
        <v>4016907.413793103</v>
      </c>
      <c r="D15" t="n">
        <v>6.08</v>
      </c>
    </row>
    <row r="16">
      <c r="A16">
        <f>HYPERLINK("https://www.tradingview.com/chart/?symbol=NSE:INDUSINDBK","INDUSINDBK")</f>
        <v/>
      </c>
      <c r="B16" t="n">
        <v>4396070</v>
      </c>
      <c r="C16" t="n">
        <v>760069.1379310344</v>
      </c>
      <c r="D16" t="n">
        <v>5.78</v>
      </c>
    </row>
    <row r="17">
      <c r="A17">
        <f>HYPERLINK("https://www.tradingview.com/chart/?symbol=NSE:BERGEPAINT","BERGEPAINT")</f>
        <v/>
      </c>
      <c r="B17" t="n">
        <v>1466014</v>
      </c>
      <c r="C17" t="n">
        <v>267513</v>
      </c>
      <c r="D17" t="n">
        <v>5.48</v>
      </c>
    </row>
    <row r="18">
      <c r="A18">
        <f>HYPERLINK("https://www.tradingview.com/chart/?symbol=NSE:AWL","AWL")</f>
        <v/>
      </c>
      <c r="B18" t="n">
        <v>6018674</v>
      </c>
      <c r="C18" t="n">
        <v>1138921.379310345</v>
      </c>
      <c r="D18" t="n">
        <v>5.28</v>
      </c>
    </row>
    <row r="19">
      <c r="A19">
        <f>HYPERLINK("https://www.tradingview.com/chart/?symbol=NSE:BATAINDIA","BATAINDIA")</f>
        <v/>
      </c>
      <c r="B19" t="n">
        <v>497858</v>
      </c>
      <c r="C19" t="n">
        <v>96903</v>
      </c>
      <c r="D19" t="n">
        <v>5.14</v>
      </c>
    </row>
    <row r="20">
      <c r="A20">
        <f>HYPERLINK("https://www.tradingview.com/chart/?symbol=NSE:CRAFTSMAN","CRAFTSMAN")</f>
        <v/>
      </c>
      <c r="B20" t="n">
        <v>161844</v>
      </c>
      <c r="C20" t="n">
        <v>31852.20689655172</v>
      </c>
      <c r="D20" t="n">
        <v>5.08</v>
      </c>
    </row>
    <row r="21">
      <c r="A21">
        <f>HYPERLINK("https://www.tradingview.com/chart/?symbol=NSE:PAGEIND","PAGEIND")</f>
        <v/>
      </c>
      <c r="B21" t="n">
        <v>60523</v>
      </c>
      <c r="C21" t="n">
        <v>12437.93103448276</v>
      </c>
      <c r="D21" t="n">
        <v>4.87</v>
      </c>
    </row>
    <row r="22">
      <c r="A22">
        <f>HYPERLINK("https://www.tradingview.com/chart/?symbol=NSE:SBFC","SBFC")</f>
        <v/>
      </c>
      <c r="B22" t="n">
        <v>2265098</v>
      </c>
      <c r="C22" t="n">
        <v>477183.7931034483</v>
      </c>
      <c r="D22" t="n">
        <v>4.75</v>
      </c>
    </row>
    <row r="23">
      <c r="A23">
        <f>HYPERLINK("https://www.tradingview.com/chart/?symbol=NSE:ABCAPITAL","ABCAPITAL")</f>
        <v/>
      </c>
      <c r="B23" t="n">
        <v>7265120</v>
      </c>
      <c r="C23" t="n">
        <v>1616500.172413793</v>
      </c>
      <c r="D23" t="n">
        <v>4.49</v>
      </c>
    </row>
    <row r="24">
      <c r="A24">
        <f>HYPERLINK("https://www.tradingview.com/chart/?symbol=NSE:THELEELA","THELEELA")</f>
        <v/>
      </c>
      <c r="B24" t="n">
        <v>904276</v>
      </c>
      <c r="C24" t="n">
        <v>204266.5172413793</v>
      </c>
      <c r="D24" t="n">
        <v>4.43</v>
      </c>
    </row>
    <row r="25">
      <c r="A25">
        <f>HYPERLINK("https://www.tradingview.com/chart/?symbol=NSE:DMART","DMART")</f>
        <v/>
      </c>
      <c r="B25" t="n">
        <v>1032154</v>
      </c>
      <c r="C25" t="n">
        <v>244865.0689655172</v>
      </c>
      <c r="D25" t="n">
        <v>4.22</v>
      </c>
    </row>
    <row r="26">
      <c r="A26">
        <f>HYPERLINK("https://www.tradingview.com/chart/?symbol=NSE:MEESHO","MEESHO")</f>
        <v/>
      </c>
      <c r="B26" t="n">
        <v>37512830</v>
      </c>
      <c r="C26" t="n">
        <v>8969986.793103449</v>
      </c>
      <c r="D26" t="n">
        <v>4.18</v>
      </c>
    </row>
    <row r="27">
      <c r="A27">
        <f>HYPERLINK("https://www.tradingview.com/chart/?symbol=NSE:USHAMART","USHAMART")</f>
        <v/>
      </c>
      <c r="B27" t="n">
        <v>1417547</v>
      </c>
      <c r="C27" t="n">
        <v>340100.6206896552</v>
      </c>
      <c r="D27" t="n">
        <v>4.17</v>
      </c>
    </row>
    <row r="28">
      <c r="A28">
        <f>HYPERLINK("https://www.tradingview.com/chart/?symbol=NSE:BAJAJHFL","BAJAJHFL")</f>
        <v/>
      </c>
      <c r="B28" t="n">
        <v>8819794</v>
      </c>
      <c r="C28" t="n">
        <v>2134825.482758621</v>
      </c>
      <c r="D28" t="n">
        <v>4.13</v>
      </c>
    </row>
    <row r="29">
      <c r="A29">
        <f>HYPERLINK("https://www.tradingview.com/chart/?symbol=NSE:SCHAEFFLER","SCHAEFFLER")</f>
        <v/>
      </c>
      <c r="B29" t="n">
        <v>149740</v>
      </c>
      <c r="C29" t="n">
        <v>39915</v>
      </c>
      <c r="D29" t="n">
        <v>3.75</v>
      </c>
    </row>
    <row r="30">
      <c r="A30">
        <f>HYPERLINK("https://www.tradingview.com/chart/?symbol=NSE:ITI","ITI")</f>
        <v/>
      </c>
      <c r="B30" t="n">
        <v>669338</v>
      </c>
      <c r="C30" t="n">
        <v>181409</v>
      </c>
      <c r="D30" t="n">
        <v>3.69</v>
      </c>
    </row>
    <row r="31">
      <c r="A31">
        <f>HYPERLINK("https://www.tradingview.com/chart/?symbol=NSE:NIVABUPA","NIVABUPA")</f>
        <v/>
      </c>
      <c r="B31" t="n">
        <v>5221994</v>
      </c>
      <c r="C31" t="n">
        <v>1423903.689655172</v>
      </c>
      <c r="D31" t="n">
        <v>3.67</v>
      </c>
    </row>
    <row r="32">
      <c r="A32">
        <f>HYPERLINK("https://www.tradingview.com/chart/?symbol=NSE:AMBER","AMBER")</f>
        <v/>
      </c>
      <c r="B32" t="n">
        <v>492304</v>
      </c>
      <c r="C32" t="n">
        <v>138660.7931034483</v>
      </c>
      <c r="D32" t="n">
        <v>3.55</v>
      </c>
    </row>
    <row r="33">
      <c r="A33">
        <f>HYPERLINK("https://www.tradingview.com/chart/?symbol=NSE:PIRAMALFIN","PIRAMALFIN")</f>
        <v/>
      </c>
      <c r="B33" t="n">
        <v>609978</v>
      </c>
      <c r="C33" t="n">
        <v>175825.4137931034</v>
      </c>
      <c r="D33" t="n">
        <v>3.47</v>
      </c>
    </row>
    <row r="34">
      <c r="A34">
        <f>HYPERLINK("https://www.tradingview.com/chart/?symbol=NSE:EMAMILTD","EMAMILTD")</f>
        <v/>
      </c>
      <c r="B34" t="n">
        <v>743049</v>
      </c>
      <c r="C34" t="n">
        <v>217877.275862069</v>
      </c>
      <c r="D34" t="n">
        <v>3.41</v>
      </c>
    </row>
    <row r="35">
      <c r="A35">
        <f>HYPERLINK("https://www.tradingview.com/chart/?symbol=NSE:HCLTECH","HCLTECH")</f>
        <v/>
      </c>
      <c r="B35" t="n">
        <v>5432220</v>
      </c>
      <c r="C35" t="n">
        <v>1606995.827586207</v>
      </c>
      <c r="D35" t="n">
        <v>3.38</v>
      </c>
    </row>
    <row r="36">
      <c r="A36">
        <f>HYPERLINK("https://www.tradingview.com/chart/?symbol=NSE:GABRIEL","GABRIEL")</f>
        <v/>
      </c>
      <c r="B36" t="n">
        <v>491420</v>
      </c>
      <c r="C36" t="n">
        <v>146716.2068965517</v>
      </c>
      <c r="D36" t="n">
        <v>3.35</v>
      </c>
    </row>
    <row r="37">
      <c r="A37">
        <f>HYPERLINK("https://www.tradingview.com/chart/?symbol=NSE:OLECTRA","OLECTRA")</f>
        <v/>
      </c>
      <c r="B37" t="n">
        <v>918717</v>
      </c>
      <c r="C37" t="n">
        <v>278280.5172413793</v>
      </c>
      <c r="D37" t="n">
        <v>3.3</v>
      </c>
    </row>
    <row r="38">
      <c r="A38">
        <f>HYPERLINK("https://www.tradingview.com/chart/?symbol=NSE:STARHEALTH","STARHEALTH")</f>
        <v/>
      </c>
      <c r="B38" t="n">
        <v>1159922</v>
      </c>
      <c r="C38" t="n">
        <v>356333.3448275862</v>
      </c>
      <c r="D38" t="n">
        <v>3.26</v>
      </c>
    </row>
    <row r="39">
      <c r="A39">
        <f>HYPERLINK("https://www.tradingview.com/chart/?symbol=NSE:JBMA","JBMA")</f>
        <v/>
      </c>
      <c r="B39" t="n">
        <v>977144</v>
      </c>
      <c r="C39" t="n">
        <v>310355.9310344828</v>
      </c>
      <c r="D39" t="n">
        <v>3.15</v>
      </c>
    </row>
    <row r="40">
      <c r="A40">
        <f>HYPERLINK("https://www.tradingview.com/chart/?symbol=NSE:EIDPARRY","EIDPARRY")</f>
        <v/>
      </c>
      <c r="B40" t="n">
        <v>643559</v>
      </c>
      <c r="C40" t="n">
        <v>207036.3103448276</v>
      </c>
      <c r="D40" t="n">
        <v>3.11</v>
      </c>
    </row>
    <row r="41">
      <c r="A41">
        <f>HYPERLINK("https://www.tradingview.com/chart/?symbol=NSE:BEML","BEML")</f>
        <v/>
      </c>
      <c r="B41" t="n">
        <v>251464</v>
      </c>
      <c r="C41" t="n">
        <v>82967.6551724138</v>
      </c>
      <c r="D41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2026-06-21T20:15:00Z</dcterms:created>
  <dcterms:modified xsi:type="dcterms:W3CDTF">2026-06-21T20:15:00Z</dcterms:modified>
</cp:coreProperties>
</file>