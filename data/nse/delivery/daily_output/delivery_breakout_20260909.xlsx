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HYPERLINK("https://www.tradingview.com/chart/?symbol=NSE:DLF","DLF")</f>
        <v/>
      </c>
      <c r="B2" t="n">
        <v>655.1</v>
      </c>
      <c r="C2" t="n">
        <v>17000327</v>
      </c>
      <c r="D2" t="n">
        <v>11697922</v>
      </c>
      <c r="E2" t="n">
        <v>68.81</v>
      </c>
      <c r="F2" t="n">
        <v>1390933.833333333</v>
      </c>
      <c r="G2" t="n">
        <v>8.41</v>
      </c>
      <c r="H2" t="n">
        <v>1113.69</v>
      </c>
      <c r="I2" t="n">
        <v>766.33</v>
      </c>
    </row>
    <row r="3">
      <c r="A3">
        <f>HYPERLINK("https://www.tradingview.com/chart/?symbol=NSE:GRAPHITE","GRAPHITE")</f>
        <v/>
      </c>
      <c r="B3" t="n">
        <v>844.65</v>
      </c>
      <c r="C3" t="n">
        <v>36292952</v>
      </c>
      <c r="D3" t="n">
        <v>5077628</v>
      </c>
      <c r="E3" t="n">
        <v>13.99</v>
      </c>
      <c r="F3" t="n">
        <v>414770.2333333333</v>
      </c>
      <c r="G3" t="n">
        <v>12.24</v>
      </c>
      <c r="H3" t="n">
        <v>3065.48</v>
      </c>
      <c r="I3" t="n">
        <v>428.88</v>
      </c>
    </row>
    <row r="4">
      <c r="A4">
        <f>HYPERLINK("https://www.tradingview.com/chart/?symbol=NSE:JSL","JSL")</f>
        <v/>
      </c>
      <c r="B4" t="n">
        <v>783.3</v>
      </c>
      <c r="C4" t="n">
        <v>6366585</v>
      </c>
      <c r="D4" t="n">
        <v>2374275</v>
      </c>
      <c r="E4" t="n">
        <v>37.29</v>
      </c>
      <c r="F4" t="n">
        <v>257735.9</v>
      </c>
      <c r="G4" t="n">
        <v>9.210000000000001</v>
      </c>
      <c r="H4" t="n">
        <v>498.69</v>
      </c>
      <c r="I4" t="n">
        <v>185.98</v>
      </c>
    </row>
    <row r="5">
      <c r="A5">
        <f>HYPERLINK("https://www.tradingview.com/chart/?symbol=NSE:EMAMILTD","EMAMILTD")</f>
        <v/>
      </c>
      <c r="B5" t="n">
        <v>369.1</v>
      </c>
      <c r="C5" t="n">
        <v>8039529</v>
      </c>
      <c r="D5" t="n">
        <v>4815697</v>
      </c>
      <c r="E5" t="n">
        <v>59.9</v>
      </c>
      <c r="F5" t="n">
        <v>555896.5</v>
      </c>
      <c r="G5" t="n">
        <v>8.66</v>
      </c>
      <c r="H5" t="n">
        <v>296.74</v>
      </c>
      <c r="I5" t="n">
        <v>177.75</v>
      </c>
    </row>
    <row r="6">
      <c r="A6">
        <f>HYPERLINK("https://www.tradingview.com/chart/?symbol=NSE:ONESOURCE","ONESOURCE")</f>
        <v/>
      </c>
      <c r="B6" t="n">
        <v>1530.1</v>
      </c>
      <c r="C6" t="n">
        <v>2411313</v>
      </c>
      <c r="D6" t="n">
        <v>964771</v>
      </c>
      <c r="E6" t="n">
        <v>40.01</v>
      </c>
      <c r="F6" t="n">
        <v>92479.73333333334</v>
      </c>
      <c r="G6" t="n">
        <v>10.43</v>
      </c>
      <c r="H6" t="n">
        <v>368.96</v>
      </c>
      <c r="I6" t="n">
        <v>147.62</v>
      </c>
    </row>
    <row r="7">
      <c r="A7">
        <f>HYPERLINK("https://www.tradingview.com/chart/?symbol=NSE:WHEELS","WHEELS")</f>
        <v/>
      </c>
      <c r="B7" t="n">
        <v>2400.6</v>
      </c>
      <c r="C7" t="n">
        <v>6608762</v>
      </c>
      <c r="D7" t="n">
        <v>596278</v>
      </c>
      <c r="E7" t="n">
        <v>9.02</v>
      </c>
      <c r="F7" t="n">
        <v>73015.03333333334</v>
      </c>
      <c r="G7" t="n">
        <v>8.17</v>
      </c>
      <c r="H7" t="n">
        <v>1586.5</v>
      </c>
      <c r="I7" t="n">
        <v>143.14</v>
      </c>
    </row>
    <row r="8">
      <c r="A8">
        <f>HYPERLINK("https://www.tradingview.com/chart/?symbol=NSE:TEGA","TEGA")</f>
        <v/>
      </c>
      <c r="B8" t="n">
        <v>1678.3</v>
      </c>
      <c r="C8" t="n">
        <v>1152710</v>
      </c>
      <c r="D8" t="n">
        <v>600244</v>
      </c>
      <c r="E8" t="n">
        <v>52.07</v>
      </c>
      <c r="F8" t="n">
        <v>93390.86666666667</v>
      </c>
      <c r="G8" t="n">
        <v>6.43</v>
      </c>
      <c r="H8" t="n">
        <v>193.46</v>
      </c>
      <c r="I8" t="n">
        <v>100.74</v>
      </c>
    </row>
    <row r="9">
      <c r="A9">
        <f>HYPERLINK("https://www.tradingview.com/chart/?symbol=NSE:RHETAN","RHETAN")</f>
        <v/>
      </c>
      <c r="B9" t="n">
        <v>26.6</v>
      </c>
      <c r="C9" t="n">
        <v>55311416</v>
      </c>
      <c r="D9" t="n">
        <v>28943575</v>
      </c>
      <c r="E9" t="n">
        <v>52.33</v>
      </c>
      <c r="F9" t="n">
        <v>3914590.7</v>
      </c>
      <c r="G9" t="n">
        <v>7.39</v>
      </c>
      <c r="H9" t="n">
        <v>147.13</v>
      </c>
      <c r="I9" t="n">
        <v>76.98999999999999</v>
      </c>
    </row>
    <row r="10">
      <c r="A10">
        <f>HYPERLINK("https://www.tradingview.com/chart/?symbol=NSE:SARDAEN","SARDAEN")</f>
        <v/>
      </c>
      <c r="B10" t="n">
        <v>545.85</v>
      </c>
      <c r="C10" t="n">
        <v>5268817</v>
      </c>
      <c r="D10" t="n">
        <v>1006704</v>
      </c>
      <c r="E10" t="n">
        <v>19.11</v>
      </c>
      <c r="F10" t="n">
        <v>199609.2666666667</v>
      </c>
      <c r="G10" t="n">
        <v>5.04</v>
      </c>
      <c r="H10" t="n">
        <v>287.6</v>
      </c>
      <c r="I10" t="n">
        <v>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2026-09-09T21:08:19Z</dcterms:created>
  <dcterms:modified xsi:type="dcterms:W3CDTF">2026-09-09T21:08:19Z</dcterms:modified>
</cp:coreProperties>
</file>