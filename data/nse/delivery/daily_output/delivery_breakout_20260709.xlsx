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HYPERLINK("https://www.tradingview.com/chart/?symbol=NSE:BLS","BLS")</f>
        <v/>
      </c>
      <c r="B2" t="n">
        <v>5486785</v>
      </c>
      <c r="C2" t="n">
        <v>579322.2068965518</v>
      </c>
      <c r="D2" t="n">
        <v>9.470000000000001</v>
      </c>
    </row>
    <row r="3">
      <c r="A3">
        <f>HYPERLINK("https://www.tradingview.com/chart/?symbol=NSE:GRAVITA","GRAVITA")</f>
        <v/>
      </c>
      <c r="B3" t="n">
        <v>522378</v>
      </c>
      <c r="C3" t="n">
        <v>91030.6551724138</v>
      </c>
      <c r="D3" t="n">
        <v>5.74</v>
      </c>
    </row>
    <row r="4">
      <c r="A4">
        <f>HYPERLINK("https://www.tradingview.com/chart/?symbol=NSE:CHOICEIN","CHOICEIN")</f>
        <v/>
      </c>
      <c r="B4" t="n">
        <v>1631743</v>
      </c>
      <c r="C4" t="n">
        <v>286929.5517241379</v>
      </c>
      <c r="D4" t="n">
        <v>5.69</v>
      </c>
    </row>
    <row r="5">
      <c r="A5">
        <f>HYPERLINK("https://www.tradingview.com/chart/?symbol=NSE:MAPMYINDIA","MAPMYINDIA")</f>
        <v/>
      </c>
      <c r="B5" t="n">
        <v>688896</v>
      </c>
      <c r="C5" t="n">
        <v>151057.5517241379</v>
      </c>
      <c r="D5" t="n">
        <v>4.56</v>
      </c>
    </row>
    <row r="6">
      <c r="A6">
        <f>HYPERLINK("https://www.tradingview.com/chart/?symbol=NSE:SWIGGY","SWIGGY")</f>
        <v/>
      </c>
      <c r="B6" t="n">
        <v>23419096</v>
      </c>
      <c r="C6" t="n">
        <v>5342766.310344827</v>
      </c>
      <c r="D6" t="n">
        <v>4.38</v>
      </c>
    </row>
    <row r="7">
      <c r="A7">
        <f>HYPERLINK("https://www.tradingview.com/chart/?symbol=NSE:KALYANKJIL","KALYANKJIL")</f>
        <v/>
      </c>
      <c r="B7" t="n">
        <v>15398201</v>
      </c>
      <c r="C7" t="n">
        <v>3659898.24137931</v>
      </c>
      <c r="D7" t="n">
        <v>4.21</v>
      </c>
    </row>
    <row r="8">
      <c r="A8">
        <f>HYPERLINK("https://www.tradingview.com/chart/?symbol=NSE:DRREDDY","DRREDDY")</f>
        <v/>
      </c>
      <c r="B8" t="n">
        <v>3290794</v>
      </c>
      <c r="C8" t="n">
        <v>888562.448275862</v>
      </c>
      <c r="D8" t="n">
        <v>3.7</v>
      </c>
    </row>
    <row r="9">
      <c r="A9">
        <f>HYPERLINK("https://www.tradingview.com/chart/?symbol=NSE:EIHOTEL","EIHOTEL")</f>
        <v/>
      </c>
      <c r="B9" t="n">
        <v>419471</v>
      </c>
      <c r="C9" t="n">
        <v>120287.5172413793</v>
      </c>
      <c r="D9" t="n">
        <v>3.49</v>
      </c>
    </row>
    <row r="10">
      <c r="A10">
        <f>HYPERLINK("https://www.tradingview.com/chart/?symbol=NSE:ARE&amp;M","ARE&amp;M")</f>
        <v/>
      </c>
      <c r="B10" t="n">
        <v>761171</v>
      </c>
      <c r="C10" t="n">
        <v>219337.724137931</v>
      </c>
      <c r="D10" t="n">
        <v>3.47</v>
      </c>
    </row>
    <row r="11">
      <c r="A11">
        <f>HYPERLINK("https://www.tradingview.com/chart/?symbol=NSE:BRIGADE","BRIGADE")</f>
        <v/>
      </c>
      <c r="B11" t="n">
        <v>1089782</v>
      </c>
      <c r="C11" t="n">
        <v>328353.2413793103</v>
      </c>
      <c r="D11" t="n">
        <v>3.32</v>
      </c>
    </row>
    <row r="12">
      <c r="A12">
        <f>HYPERLINK("https://www.tradingview.com/chart/?symbol=NSE:LT","LT")</f>
        <v/>
      </c>
      <c r="B12" t="n">
        <v>3639822</v>
      </c>
      <c r="C12" t="n">
        <v>1134079.448275862</v>
      </c>
      <c r="D12" t="n">
        <v>3.21</v>
      </c>
    </row>
    <row r="13">
      <c r="A13">
        <f>HYPERLINK("https://www.tradingview.com/chart/?symbol=NSE:HDFCLIFE","HDFCLIFE")</f>
        <v/>
      </c>
      <c r="B13" t="n">
        <v>5797590</v>
      </c>
      <c r="C13" t="n">
        <v>1816461</v>
      </c>
      <c r="D13" t="n">
        <v>3.19</v>
      </c>
    </row>
    <row r="14">
      <c r="A14">
        <f>HYPERLINK("https://www.tradingview.com/chart/?symbol=NSE:MAZDOCK","MAZDOCK")</f>
        <v/>
      </c>
      <c r="B14" t="n">
        <v>792715</v>
      </c>
      <c r="C14" t="n">
        <v>248149.3448275862</v>
      </c>
      <c r="D14" t="n">
        <v>3.19</v>
      </c>
    </row>
    <row r="15">
      <c r="A15">
        <f>HYPERLINK("https://www.tradingview.com/chart/?symbol=NSE:WELCORP","WELCORP")</f>
        <v/>
      </c>
      <c r="B15" t="n">
        <v>1510951</v>
      </c>
      <c r="C15" t="n">
        <v>502880.2068965517</v>
      </c>
      <c r="D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2026-07-10T05:22:57Z</dcterms:created>
  <dcterms:modified xsi:type="dcterms:W3CDTF">2026-07-10T05:22:57Z</dcterms:modified>
</cp:coreProperties>
</file>