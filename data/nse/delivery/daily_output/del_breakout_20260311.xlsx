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HYPERLINK("https://www.tradingview.com/chart/?symbol=NSE:FACT", "FACT")</f>
        <v/>
      </c>
      <c r="B2" t="n">
        <v>922011</v>
      </c>
      <c r="C2" t="n">
        <v>78013</v>
      </c>
      <c r="D2" t="n">
        <v>11.82</v>
      </c>
    </row>
    <row r="3">
      <c r="A3">
        <f>HYPERLINK("https://www.tradingview.com/chart/?symbol=NSE:ATGL", "ATGL")</f>
        <v/>
      </c>
      <c r="B3" t="n">
        <v>2322702</v>
      </c>
      <c r="C3" t="n">
        <v>238946.8333333333</v>
      </c>
      <c r="D3" t="n">
        <v>9.720000000000001</v>
      </c>
    </row>
    <row r="4">
      <c r="A4">
        <f>HYPERLINK("https://www.tradingview.com/chart/?symbol=NSE:HAPPSTMNDS", "HAPPSTMNDS")</f>
        <v/>
      </c>
      <c r="B4" t="n">
        <v>3225518</v>
      </c>
      <c r="C4" t="n">
        <v>365155.8666666666</v>
      </c>
      <c r="D4" t="n">
        <v>8.83</v>
      </c>
    </row>
    <row r="5">
      <c r="A5">
        <f>HYPERLINK("https://www.tradingview.com/chart/?symbol=NSE:CGCL", "CGCL")</f>
        <v/>
      </c>
      <c r="B5" t="n">
        <v>4741637</v>
      </c>
      <c r="C5" t="n">
        <v>650260.1</v>
      </c>
      <c r="D5" t="n">
        <v>7.29</v>
      </c>
    </row>
    <row r="6">
      <c r="A6">
        <f>HYPERLINK("https://www.tradingview.com/chart/?symbol=NSE:JINDALSAW", "JINDALSAW")</f>
        <v/>
      </c>
      <c r="B6" t="n">
        <v>7099146</v>
      </c>
      <c r="C6" t="n">
        <v>1011229.466666667</v>
      </c>
      <c r="D6" t="n">
        <v>7.02</v>
      </c>
    </row>
    <row r="7">
      <c r="A7">
        <f>HYPERLINK("https://www.tradingview.com/chart/?symbol=NSE:VIJAYA", "VIJAYA")</f>
        <v/>
      </c>
      <c r="B7" t="n">
        <v>311026</v>
      </c>
      <c r="C7" t="n">
        <v>60532.63333333333</v>
      </c>
      <c r="D7" t="n">
        <v>5.14</v>
      </c>
    </row>
    <row r="8">
      <c r="A8">
        <f>HYPERLINK("https://www.tradingview.com/chart/?symbol=NSE:GSPL", "GSPL")</f>
        <v/>
      </c>
      <c r="B8" t="n">
        <v>1240661</v>
      </c>
      <c r="C8" t="n">
        <v>244798.6333333333</v>
      </c>
      <c r="D8" t="n">
        <v>5.07</v>
      </c>
    </row>
    <row r="9">
      <c r="A9">
        <f>HYPERLINK("https://www.tradingview.com/chart/?symbol=NSE:ABSLAMC", "ABSLAMC")</f>
        <v/>
      </c>
      <c r="B9" t="n">
        <v>1112571</v>
      </c>
      <c r="C9" t="n">
        <v>295853.5</v>
      </c>
      <c r="D9" t="n">
        <v>3.76</v>
      </c>
    </row>
    <row r="10">
      <c r="A10">
        <f>HYPERLINK("https://www.tradingview.com/chart/?symbol=NSE:AWL", "AWL")</f>
        <v/>
      </c>
      <c r="B10" t="n">
        <v>4319090</v>
      </c>
      <c r="C10" t="n">
        <v>1154694.933333333</v>
      </c>
      <c r="D10" t="n">
        <v>3.74</v>
      </c>
    </row>
    <row r="11">
      <c r="A11">
        <f>HYPERLINK("https://www.tradingview.com/chart/?symbol=NSE:GUJGASLTD", "GUJGASLTD")</f>
        <v/>
      </c>
      <c r="B11" t="n">
        <v>780830</v>
      </c>
      <c r="C11" t="n">
        <v>210441.5</v>
      </c>
      <c r="D11" t="n">
        <v>3.71</v>
      </c>
    </row>
    <row r="12">
      <c r="A12">
        <f>HYPERLINK("https://www.tradingview.com/chart/?symbol=NSE:ASTRAL", "ASTRAL")</f>
        <v/>
      </c>
      <c r="B12" t="n">
        <v>1018139</v>
      </c>
      <c r="C12" t="n">
        <v>329253.1</v>
      </c>
      <c r="D12" t="n">
        <v>3.09</v>
      </c>
    </row>
    <row r="13">
      <c r="A13">
        <f>HYPERLINK("https://www.tradingview.com/chart/?symbol=NSE:RCF", "RCF")</f>
        <v/>
      </c>
      <c r="B13" t="n">
        <v>1555653</v>
      </c>
      <c r="C13" t="n">
        <v>506908.6666666667</v>
      </c>
      <c r="D1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2026-03-12T20:03:00Z</dcterms:created>
  <dcterms:modified xsi:type="dcterms:W3CDTF">2026-03-12T20:03:00Z</dcterms:modified>
</cp:coreProperties>
</file>