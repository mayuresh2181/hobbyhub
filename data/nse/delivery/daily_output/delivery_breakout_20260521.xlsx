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HYPERLINK("https://www.tradingview.com/chart/?symbol=NSE:RHIM","RHIM")</f>
        <v/>
      </c>
      <c r="B2" t="n">
        <v>1373798</v>
      </c>
      <c r="C2" t="n">
        <v>52049.62068965517</v>
      </c>
      <c r="D2" t="n">
        <v>26.39</v>
      </c>
    </row>
    <row r="3">
      <c r="A3">
        <f>HYPERLINK("https://www.tradingview.com/chart/?symbol=NSE:IRB","IRB")</f>
        <v/>
      </c>
      <c r="B3" t="n">
        <v>51436587</v>
      </c>
      <c r="C3" t="n">
        <v>4948725.793103448</v>
      </c>
      <c r="D3" t="n">
        <v>10.39</v>
      </c>
    </row>
    <row r="4">
      <c r="A4">
        <f>HYPERLINK("https://www.tradingview.com/chart/?symbol=NSE:JUBLFOOD","JUBLFOOD")</f>
        <v/>
      </c>
      <c r="B4" t="n">
        <v>7397790</v>
      </c>
      <c r="C4" t="n">
        <v>830051.8275862068</v>
      </c>
      <c r="D4" t="n">
        <v>8.91</v>
      </c>
    </row>
    <row r="5">
      <c r="A5">
        <f>HYPERLINK("https://www.tradingview.com/chart/?symbol=NSE:HONAUT","HONAUT")</f>
        <v/>
      </c>
      <c r="B5" t="n">
        <v>24373</v>
      </c>
      <c r="C5" t="n">
        <v>2890.310344827586</v>
      </c>
      <c r="D5" t="n">
        <v>8.43</v>
      </c>
    </row>
    <row r="6">
      <c r="A6">
        <f>HYPERLINK("https://www.tradingview.com/chart/?symbol=NSE:JSWCEMENT","JSWCEMENT")</f>
        <v/>
      </c>
      <c r="B6" t="n">
        <v>5111891</v>
      </c>
      <c r="C6" t="n">
        <v>614740.1379310344</v>
      </c>
      <c r="D6" t="n">
        <v>8.32</v>
      </c>
    </row>
    <row r="7">
      <c r="A7">
        <f>HYPERLINK("https://www.tradingview.com/chart/?symbol=NSE:LENSKART","LENSKART")</f>
        <v/>
      </c>
      <c r="B7" t="n">
        <v>21600139</v>
      </c>
      <c r="C7" t="n">
        <v>2993605.413793103</v>
      </c>
      <c r="D7" t="n">
        <v>7.22</v>
      </c>
    </row>
    <row r="8">
      <c r="A8">
        <f>HYPERLINK("https://www.tradingview.com/chart/?symbol=NSE:IGIL","IGIL")</f>
        <v/>
      </c>
      <c r="B8" t="n">
        <v>1204858</v>
      </c>
      <c r="C8" t="n">
        <v>183296.3793103448</v>
      </c>
      <c r="D8" t="n">
        <v>6.57</v>
      </c>
    </row>
    <row r="9">
      <c r="A9">
        <f>HYPERLINK("https://www.tradingview.com/chart/?symbol=NSE:TECHNOE","TECHNOE")</f>
        <v/>
      </c>
      <c r="B9" t="n">
        <v>696068</v>
      </c>
      <c r="C9" t="n">
        <v>121144.0689655172</v>
      </c>
      <c r="D9" t="n">
        <v>5.75</v>
      </c>
    </row>
    <row r="10">
      <c r="A10">
        <f>HYPERLINK("https://www.tradingview.com/chart/?symbol=NSE:JSWDULUX","JSWDULUX")</f>
        <v/>
      </c>
      <c r="B10" t="n">
        <v>56776</v>
      </c>
      <c r="C10" t="n">
        <v>10843.46153846154</v>
      </c>
      <c r="D10" t="n">
        <v>5.24</v>
      </c>
    </row>
    <row r="11">
      <c r="A11">
        <f>HYPERLINK("https://www.tradingview.com/chart/?symbol=NSE:TRAVELFOOD","TRAVELFOOD")</f>
        <v/>
      </c>
      <c r="B11" t="n">
        <v>104601</v>
      </c>
      <c r="C11" t="n">
        <v>21489.10344827586</v>
      </c>
      <c r="D11" t="n">
        <v>4.87</v>
      </c>
    </row>
    <row r="12">
      <c r="A12">
        <f>HYPERLINK("https://www.tradingview.com/chart/?symbol=NSE:JSWSTEEL","JSWSTEEL")</f>
        <v/>
      </c>
      <c r="B12" t="n">
        <v>4016453</v>
      </c>
      <c r="C12" t="n">
        <v>902152.9655172414</v>
      </c>
      <c r="D12" t="n">
        <v>4.45</v>
      </c>
    </row>
    <row r="13">
      <c r="A13">
        <f>HYPERLINK("https://www.tradingview.com/chart/?symbol=NSE:SAMMAANCAP","SAMMAANCAP")</f>
        <v/>
      </c>
      <c r="B13" t="n">
        <v>25999690</v>
      </c>
      <c r="C13" t="n">
        <v>6352716.655172414</v>
      </c>
      <c r="D13" t="n">
        <v>4.09</v>
      </c>
    </row>
    <row r="14">
      <c r="A14">
        <f>HYPERLINK("https://www.tradingview.com/chart/?symbol=NSE:LICI","LICI")</f>
        <v/>
      </c>
      <c r="B14" t="n">
        <v>2442317</v>
      </c>
      <c r="C14" t="n">
        <v>632021.3103448276</v>
      </c>
      <c r="D14" t="n">
        <v>3.86</v>
      </c>
    </row>
    <row r="15">
      <c r="A15">
        <f>HYPERLINK("https://www.tradingview.com/chart/?symbol=NSE:PIIND","PIIND")</f>
        <v/>
      </c>
      <c r="B15" t="n">
        <v>510126</v>
      </c>
      <c r="C15" t="n">
        <v>144756.3103448276</v>
      </c>
      <c r="D15" t="n">
        <v>3.52</v>
      </c>
    </row>
    <row r="16">
      <c r="A16">
        <f>HYPERLINK("https://www.tradingview.com/chart/?symbol=NSE:EMAMILTD","EMAMILTD")</f>
        <v/>
      </c>
      <c r="B16" t="n">
        <v>787778</v>
      </c>
      <c r="C16" t="n">
        <v>229785.5517241379</v>
      </c>
      <c r="D16" t="n">
        <v>3.43</v>
      </c>
    </row>
    <row r="17">
      <c r="A17">
        <f>HYPERLINK("https://www.tradingview.com/chart/?symbol=NSE:GLAND","GLAND")</f>
        <v/>
      </c>
      <c r="B17" t="n">
        <v>534050</v>
      </c>
      <c r="C17" t="n">
        <v>162815.6551724138</v>
      </c>
      <c r="D17" t="n">
        <v>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2026-05-22T20:23:30Z</dcterms:created>
  <dcterms:modified xsi:type="dcterms:W3CDTF">2026-05-22T20:23:30Z</dcterms:modified>
</cp:coreProperties>
</file>