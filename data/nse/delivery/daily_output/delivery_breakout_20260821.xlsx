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HYPERLINK("https://www.tradingview.com/chart/?symbol=NSE:CROMPTON","CROMPTON")</f>
        <v/>
      </c>
      <c r="B2" t="n">
        <v>252</v>
      </c>
      <c r="C2" t="n">
        <v>13394000</v>
      </c>
      <c r="D2" t="n">
        <v>7423712</v>
      </c>
      <c r="E2" t="n">
        <v>55.43</v>
      </c>
      <c r="F2" t="n">
        <v>1472586.533333333</v>
      </c>
      <c r="G2" t="n">
        <v>5.04</v>
      </c>
      <c r="H2" t="n">
        <v>337.53</v>
      </c>
      <c r="I2" t="n">
        <v>187.08</v>
      </c>
    </row>
    <row r="3">
      <c r="A3">
        <f>HYPERLINK("https://www.tradingview.com/chart/?symbol=NSE:JSFB","JSFB")</f>
        <v/>
      </c>
      <c r="B3" t="n">
        <v>582.35</v>
      </c>
      <c r="C3" t="n">
        <v>5326492</v>
      </c>
      <c r="D3" t="n">
        <v>2553421</v>
      </c>
      <c r="E3" t="n">
        <v>47.94</v>
      </c>
      <c r="F3" t="n">
        <v>438963.2666666667</v>
      </c>
      <c r="G3" t="n">
        <v>5.82</v>
      </c>
      <c r="H3" t="n">
        <v>310.19</v>
      </c>
      <c r="I3" t="n">
        <v>148.7</v>
      </c>
    </row>
    <row r="4">
      <c r="A4">
        <f>HYPERLINK("https://www.tradingview.com/chart/?symbol=NSE:AMAGI","AMAGI")</f>
        <v/>
      </c>
      <c r="B4" t="n">
        <v>599.85</v>
      </c>
      <c r="C4" t="n">
        <v>5617463</v>
      </c>
      <c r="D4" t="n">
        <v>1612643</v>
      </c>
      <c r="E4" t="n">
        <v>28.71</v>
      </c>
      <c r="F4" t="n">
        <v>271525.1</v>
      </c>
      <c r="G4" t="n">
        <v>5.94</v>
      </c>
      <c r="H4" t="n">
        <v>336.96</v>
      </c>
      <c r="I4" t="n">
        <v>96.73</v>
      </c>
    </row>
    <row r="5">
      <c r="A5">
        <f>HYPERLINK("https://www.tradingview.com/chart/?symbol=NSE:DCBBANK","DCBBANK")</f>
        <v/>
      </c>
      <c r="B5" t="n">
        <v>203.59</v>
      </c>
      <c r="C5" t="n">
        <v>10152482</v>
      </c>
      <c r="D5" t="n">
        <v>4276057</v>
      </c>
      <c r="E5" t="n">
        <v>42.12</v>
      </c>
      <c r="F5" t="n">
        <v>658272.5</v>
      </c>
      <c r="G5" t="n">
        <v>6.5</v>
      </c>
      <c r="H5" t="n">
        <v>206.69</v>
      </c>
      <c r="I5" t="n">
        <v>87.06</v>
      </c>
    </row>
    <row r="6">
      <c r="A6">
        <f>HYPERLINK("https://www.tradingview.com/chart/?symbol=NSE:NCC","NCC")</f>
        <v/>
      </c>
      <c r="B6" t="n">
        <v>149.56</v>
      </c>
      <c r="C6" t="n">
        <v>20823822</v>
      </c>
      <c r="D6" t="n">
        <v>4743450</v>
      </c>
      <c r="E6" t="n">
        <v>22.78</v>
      </c>
      <c r="F6" t="n">
        <v>808176.0666666667</v>
      </c>
      <c r="G6" t="n">
        <v>5.87</v>
      </c>
      <c r="H6" t="n">
        <v>311.44</v>
      </c>
      <c r="I6" t="n">
        <v>70.94</v>
      </c>
    </row>
    <row r="7">
      <c r="A7">
        <f>HYPERLINK("https://www.tradingview.com/chart/?symbol=NSE:WELENT","WELENT")</f>
        <v/>
      </c>
      <c r="B7" t="n">
        <v>631.45</v>
      </c>
      <c r="C7" t="n">
        <v>5656444</v>
      </c>
      <c r="D7" t="n">
        <v>1113862</v>
      </c>
      <c r="E7" t="n">
        <v>19.69</v>
      </c>
      <c r="F7" t="n">
        <v>170477.7666666667</v>
      </c>
      <c r="G7" t="n">
        <v>6.53</v>
      </c>
      <c r="H7" t="n">
        <v>357.18</v>
      </c>
      <c r="I7" t="n">
        <v>70.33</v>
      </c>
    </row>
    <row r="8">
      <c r="A8">
        <f>HYPERLINK("https://www.tradingview.com/chart/?symbol=NSE:PRSMJOHNSN","PRSMJOHNSN")</f>
        <v/>
      </c>
      <c r="B8" t="n">
        <v>107.97</v>
      </c>
      <c r="C8" t="n">
        <v>7068285</v>
      </c>
      <c r="D8" t="n">
        <v>6434140</v>
      </c>
      <c r="E8" t="n">
        <v>91.03</v>
      </c>
      <c r="F8" t="n">
        <v>330922.0333333333</v>
      </c>
      <c r="G8" t="n">
        <v>19.44</v>
      </c>
      <c r="H8" t="n">
        <v>76.31999999999999</v>
      </c>
      <c r="I8" t="n">
        <v>69.47</v>
      </c>
    </row>
    <row r="9">
      <c r="A9">
        <f>HYPERLINK("https://www.tradingview.com/chart/?symbol=NSE:KDDL","KDDL")</f>
        <v/>
      </c>
      <c r="B9" t="n">
        <v>4005.4</v>
      </c>
      <c r="C9" t="n">
        <v>352972</v>
      </c>
      <c r="D9" t="n">
        <v>167099</v>
      </c>
      <c r="E9" t="n">
        <v>47.34</v>
      </c>
      <c r="F9" t="n">
        <v>15165.46666666667</v>
      </c>
      <c r="G9" t="n">
        <v>11.02</v>
      </c>
      <c r="H9" t="n">
        <v>141.38</v>
      </c>
      <c r="I9" t="n">
        <v>66.93000000000001</v>
      </c>
    </row>
    <row r="10">
      <c r="A10">
        <f>HYPERLINK("https://www.tradingview.com/chart/?symbol=NSE:PFOCUS","PFOCUS")</f>
        <v/>
      </c>
      <c r="B10" t="n">
        <v>296.95</v>
      </c>
      <c r="C10" t="n">
        <v>4338926</v>
      </c>
      <c r="D10" t="n">
        <v>2231828</v>
      </c>
      <c r="E10" t="n">
        <v>51.44</v>
      </c>
      <c r="F10" t="n">
        <v>415705.6923076923</v>
      </c>
      <c r="G10" t="n">
        <v>5.37</v>
      </c>
      <c r="H10" t="n">
        <v>128.84</v>
      </c>
      <c r="I10" t="n">
        <v>66.27</v>
      </c>
    </row>
    <row r="11">
      <c r="A11">
        <f>HYPERLINK("https://www.tradingview.com/chart/?symbol=NSE:JBMA","JBMA")</f>
        <v/>
      </c>
      <c r="B11" t="n">
        <v>673.95</v>
      </c>
      <c r="C11" t="n">
        <v>13184218</v>
      </c>
      <c r="D11" t="n">
        <v>916650</v>
      </c>
      <c r="E11" t="n">
        <v>6.95</v>
      </c>
      <c r="F11" t="n">
        <v>91056.63333333333</v>
      </c>
      <c r="G11" t="n">
        <v>10.07</v>
      </c>
      <c r="H11" t="n">
        <v>888.55</v>
      </c>
      <c r="I11" t="n">
        <v>61.78</v>
      </c>
    </row>
    <row r="12">
      <c r="A12">
        <f>HYPERLINK("https://www.tradingview.com/chart/?symbol=NSE:BAJAJHIND","BAJAJHIND")</f>
        <v/>
      </c>
      <c r="B12" t="n">
        <v>23.13</v>
      </c>
      <c r="C12" t="n">
        <v>126644332</v>
      </c>
      <c r="D12" t="n">
        <v>22066400</v>
      </c>
      <c r="E12" t="n">
        <v>17.42</v>
      </c>
      <c r="F12" t="n">
        <v>4204401.566666666</v>
      </c>
      <c r="G12" t="n">
        <v>5.25</v>
      </c>
      <c r="H12" t="n">
        <v>292.93</v>
      </c>
      <c r="I12" t="n">
        <v>51.04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2026-08-23T19:00:30Z</dcterms:created>
  <dcterms:modified xsi:type="dcterms:W3CDTF">2026-08-23T19:00:30Z</dcterms:modified>
</cp:coreProperties>
</file>