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22" customWidth="1" min="3" max="3"/>
    <col width="19" customWidth="1" min="4" max="4"/>
  </cols>
  <sheetData>
    <row r="1">
      <c r="A1" s="1" t="inlineStr">
        <is>
          <t>SYMBOL</t>
        </is>
      </c>
      <c r="B1" s="1" t="inlineStr">
        <is>
          <t>DELIV_QTY</t>
        </is>
      </c>
      <c r="C1" s="1" t="inlineStr">
        <is>
          <t>AVG_30_DELIV_QTY</t>
        </is>
      </c>
      <c r="D1" s="1" t="inlineStr">
        <is>
          <t>DELIVERY_RATIO</t>
        </is>
      </c>
    </row>
    <row r="2">
      <c r="A2">
        <f>HYPERLINK("https://www.tradingview.com/chart/?symbol=NSE:SCHNEIDER","SCHNEIDER")</f>
        <v/>
      </c>
      <c r="B2" t="n">
        <v>1278604</v>
      </c>
      <c r="C2" t="n">
        <v>144167.8333333333</v>
      </c>
      <c r="D2" t="n">
        <v>8.869999999999999</v>
      </c>
    </row>
    <row r="3">
      <c r="A3">
        <f>HYPERLINK("https://www.tradingview.com/chart/?symbol=NSE:MMTC","MMTC")</f>
        <v/>
      </c>
      <c r="B3" t="n">
        <v>5419835</v>
      </c>
      <c r="C3" t="n">
        <v>622165.1724137932</v>
      </c>
      <c r="D3" t="n">
        <v>8.710000000000001</v>
      </c>
    </row>
    <row r="4">
      <c r="A4">
        <f>HYPERLINK("https://www.tradingview.com/chart/?symbol=NSE:GODIGIT","GODIGIT")</f>
        <v/>
      </c>
      <c r="B4" t="n">
        <v>1010819</v>
      </c>
      <c r="C4" t="n">
        <v>156065</v>
      </c>
      <c r="D4" t="n">
        <v>6.48</v>
      </c>
    </row>
    <row r="5">
      <c r="A5">
        <f>HYPERLINK("https://www.tradingview.com/chart/?symbol=NSE:FIRSTCRY","FIRSTCRY")</f>
        <v/>
      </c>
      <c r="B5" t="n">
        <v>3326070</v>
      </c>
      <c r="C5" t="n">
        <v>584091.724137931</v>
      </c>
      <c r="D5" t="n">
        <v>5.69</v>
      </c>
    </row>
    <row r="6">
      <c r="A6">
        <f>HYPERLINK("https://www.tradingview.com/chart/?symbol=NSE:JBMA","JBMA")</f>
        <v/>
      </c>
      <c r="B6" t="n">
        <v>1430074</v>
      </c>
      <c r="C6" t="n">
        <v>258219.3448275862</v>
      </c>
      <c r="D6" t="n">
        <v>5.54</v>
      </c>
    </row>
    <row r="7">
      <c r="A7">
        <f>HYPERLINK("https://www.tradingview.com/chart/?symbol=NSE:NHPC","NHPC")</f>
        <v/>
      </c>
      <c r="B7" t="n">
        <v>64929703</v>
      </c>
      <c r="C7" t="n">
        <v>11748044.24137931</v>
      </c>
      <c r="D7" t="n">
        <v>5.53</v>
      </c>
    </row>
    <row r="8">
      <c r="A8">
        <f>HYPERLINK("https://www.tradingview.com/chart/?symbol=NSE:ZENTEC","ZENTEC")</f>
        <v/>
      </c>
      <c r="B8" t="n">
        <v>1097212</v>
      </c>
      <c r="C8" t="n">
        <v>220983.3793103448</v>
      </c>
      <c r="D8" t="n">
        <v>4.97</v>
      </c>
    </row>
    <row r="9">
      <c r="A9">
        <f>HYPERLINK("https://www.tradingview.com/chart/?symbol=NSE:360ONE","360ONE")</f>
        <v/>
      </c>
      <c r="B9" t="n">
        <v>1858208</v>
      </c>
      <c r="C9" t="n">
        <v>429258.0344827586</v>
      </c>
      <c r="D9" t="n">
        <v>4.33</v>
      </c>
    </row>
    <row r="10">
      <c r="A10">
        <f>HYPERLINK("https://www.tradingview.com/chart/?symbol=NSE:ANANTRAJ","ANANTRAJ")</f>
        <v/>
      </c>
      <c r="B10" t="n">
        <v>3837703</v>
      </c>
      <c r="C10" t="n">
        <v>936465.9655172414</v>
      </c>
      <c r="D10" t="n">
        <v>4.1</v>
      </c>
    </row>
    <row r="11">
      <c r="A11">
        <f>HYPERLINK("https://www.tradingview.com/chart/?symbol=NSE:ELGIEQUIP","ELGIEQUIP")</f>
        <v/>
      </c>
      <c r="B11" t="n">
        <v>1043292</v>
      </c>
      <c r="C11" t="n">
        <v>257655.724137931</v>
      </c>
      <c r="D11" t="n">
        <v>4.05</v>
      </c>
    </row>
    <row r="12">
      <c r="A12">
        <f>HYPERLINK("https://www.tradingview.com/chart/?symbol=NSE:ZEEL","ZEEL")</f>
        <v/>
      </c>
      <c r="B12" t="n">
        <v>24126943</v>
      </c>
      <c r="C12" t="n">
        <v>6203520.482758621</v>
      </c>
      <c r="D12" t="n">
        <v>3.89</v>
      </c>
    </row>
    <row r="13">
      <c r="A13">
        <f>HYPERLINK("https://www.tradingview.com/chart/?symbol=NSE:JUBLINGREA","JUBLINGREA")</f>
        <v/>
      </c>
      <c r="B13" t="n">
        <v>499366</v>
      </c>
      <c r="C13" t="n">
        <v>129148.8620689655</v>
      </c>
      <c r="D13" t="n">
        <v>3.87</v>
      </c>
    </row>
    <row r="14">
      <c r="A14">
        <f>HYPERLINK("https://www.tradingview.com/chart/?symbol=NSE:POLYMED","POLYMED")</f>
        <v/>
      </c>
      <c r="B14" t="n">
        <v>316025</v>
      </c>
      <c r="C14" t="n">
        <v>83792.06896551725</v>
      </c>
      <c r="D14" t="n">
        <v>3.77</v>
      </c>
    </row>
    <row r="15">
      <c r="A15">
        <f>HYPERLINK("https://www.tradingview.com/chart/?symbol=NSE:SAPPHIRE","SAPPHIRE")</f>
        <v/>
      </c>
      <c r="B15" t="n">
        <v>2336441</v>
      </c>
      <c r="C15" t="n">
        <v>626904.1724137932</v>
      </c>
      <c r="D15" t="n">
        <v>3.73</v>
      </c>
    </row>
    <row r="16">
      <c r="A16">
        <f>HYPERLINK("https://www.tradingview.com/chart/?symbol=NSE:ZENSARTECH","ZENSARTECH")</f>
        <v/>
      </c>
      <c r="B16" t="n">
        <v>857952</v>
      </c>
      <c r="C16" t="n">
        <v>237895.1379310345</v>
      </c>
      <c r="D16" t="n">
        <v>3.61</v>
      </c>
    </row>
    <row r="17">
      <c r="A17">
        <f>HYPERLINK("https://www.tradingview.com/chart/?symbol=NSE:TEJASNET","TEJASNET")</f>
        <v/>
      </c>
      <c r="B17" t="n">
        <v>4101954</v>
      </c>
      <c r="C17" t="n">
        <v>1239315.034482759</v>
      </c>
      <c r="D17" t="n">
        <v>3.31</v>
      </c>
    </row>
    <row r="18">
      <c r="A18">
        <f>HYPERLINK("https://www.tradingview.com/chart/?symbol=NSE:PWL","PWL")</f>
        <v/>
      </c>
      <c r="B18" t="n">
        <v>6126697</v>
      </c>
      <c r="C18" t="n">
        <v>1967301.068965517</v>
      </c>
      <c r="D18" t="n">
        <v>3.11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2026-06-05T20:30:56Z</dcterms:created>
  <dcterms:modified xsi:type="dcterms:W3CDTF">2026-06-05T20:30:56Z</dcterms:modified>
</cp:coreProperties>
</file>