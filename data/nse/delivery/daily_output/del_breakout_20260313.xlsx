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HYPERLINK("https://www.tradingview.com/chart/?symbol=NSE:METROPOLIS", "METROPOLIS")</f>
        <v/>
      </c>
      <c r="B2" t="n">
        <v>143412</v>
      </c>
      <c r="C2" t="n">
        <v>21307.93333333333</v>
      </c>
      <c r="D2" t="n">
        <v>6.73</v>
      </c>
    </row>
    <row r="3">
      <c r="A3">
        <f>HYPERLINK("https://www.tradingview.com/chart/?symbol=NSE:ATGL", "ATGL")</f>
        <v/>
      </c>
      <c r="B3" t="n">
        <v>2590021</v>
      </c>
      <c r="C3" t="n">
        <v>470078.9333333333</v>
      </c>
      <c r="D3" t="n">
        <v>5.51</v>
      </c>
    </row>
    <row r="4">
      <c r="A4">
        <f>HYPERLINK("https://www.tradingview.com/chart/?symbol=NSE:ACMESOLAR", "ACMESOLAR")</f>
        <v/>
      </c>
      <c r="B4" t="n">
        <v>1722026</v>
      </c>
      <c r="C4" t="n">
        <v>328439.8333333333</v>
      </c>
      <c r="D4" t="n">
        <v>5.24</v>
      </c>
    </row>
    <row r="5">
      <c r="A5">
        <f>HYPERLINK("https://www.tradingview.com/chart/?symbol=NSE:NTPCGREEN", "NTPCGREEN")</f>
        <v/>
      </c>
      <c r="B5" t="n">
        <v>11186833</v>
      </c>
      <c r="C5" t="n">
        <v>2244453.133333333</v>
      </c>
      <c r="D5" t="n">
        <v>4.98</v>
      </c>
    </row>
    <row r="6">
      <c r="A6">
        <f>HYPERLINK("https://www.tradingview.com/chart/?symbol=NSE:FACT", "FACT")</f>
        <v/>
      </c>
      <c r="B6" t="n">
        <v>460786</v>
      </c>
      <c r="C6" t="n">
        <v>98831.63333333333</v>
      </c>
      <c r="D6" t="n">
        <v>4.66</v>
      </c>
    </row>
    <row r="7">
      <c r="A7">
        <f>HYPERLINK("https://www.tradingview.com/chart/?symbol=NSE:NIVABUPA", "NIVABUPA")</f>
        <v/>
      </c>
      <c r="B7" t="n">
        <v>2729334</v>
      </c>
      <c r="C7" t="n">
        <v>589197.3333333334</v>
      </c>
      <c r="D7" t="n">
        <v>4.63</v>
      </c>
    </row>
    <row r="8">
      <c r="A8">
        <f>HYPERLINK("https://www.tradingview.com/chart/?symbol=NSE:SAPPHIRE", "SAPPHIRE")</f>
        <v/>
      </c>
      <c r="B8" t="n">
        <v>1235466</v>
      </c>
      <c r="C8" t="n">
        <v>285805.1</v>
      </c>
      <c r="D8" t="n">
        <v>4.32</v>
      </c>
    </row>
    <row r="9">
      <c r="A9">
        <f>HYPERLINK("https://www.tradingview.com/chart/?symbol=NSE:IPCALAB", "IPCALAB")</f>
        <v/>
      </c>
      <c r="B9" t="n">
        <v>450226</v>
      </c>
      <c r="C9" t="n">
        <v>106915.9</v>
      </c>
      <c r="D9" t="n">
        <v>4.21</v>
      </c>
    </row>
    <row r="10">
      <c r="A10">
        <f>HYPERLINK("https://www.tradingview.com/chart/?symbol=NSE:ADANIGREEN", "ADANIGREEN")</f>
        <v/>
      </c>
      <c r="B10" t="n">
        <v>4272683</v>
      </c>
      <c r="C10" t="n">
        <v>1040402.4</v>
      </c>
      <c r="D10" t="n">
        <v>4.11</v>
      </c>
    </row>
    <row r="11">
      <c r="A11">
        <f>HYPERLINK("https://www.tradingview.com/chart/?symbol=NSE:SYNGENE", "SYNGENE")</f>
        <v/>
      </c>
      <c r="B11" t="n">
        <v>2653252</v>
      </c>
      <c r="C11" t="n">
        <v>693088.4666666667</v>
      </c>
      <c r="D11" t="n">
        <v>3.83</v>
      </c>
    </row>
    <row r="12">
      <c r="A12">
        <f>HYPERLINK("https://www.tradingview.com/chart/?symbol=NSE:LT", "LT")</f>
        <v/>
      </c>
      <c r="B12" t="n">
        <v>7112796</v>
      </c>
      <c r="C12" t="n">
        <v>1894445.2</v>
      </c>
      <c r="D12" t="n">
        <v>3.75</v>
      </c>
    </row>
    <row r="13">
      <c r="A13">
        <f>HYPERLINK("https://www.tradingview.com/chart/?symbol=NSE:SOBHA", "SOBHA")</f>
        <v/>
      </c>
      <c r="B13" t="n">
        <v>165373</v>
      </c>
      <c r="C13" t="n">
        <v>45330.2</v>
      </c>
      <c r="D13" t="n">
        <v>3.65</v>
      </c>
    </row>
    <row r="14">
      <c r="A14">
        <f>HYPERLINK("https://www.tradingview.com/chart/?symbol=NSE:M&amp;MFIN", "M&amp;MFIN")</f>
        <v/>
      </c>
      <c r="B14" t="n">
        <v>1481286</v>
      </c>
      <c r="C14" t="n">
        <v>421414.3148148148</v>
      </c>
      <c r="D14" t="n">
        <v>3.52</v>
      </c>
    </row>
    <row r="15">
      <c r="A15">
        <f>HYPERLINK("https://www.tradingview.com/chart/?symbol=NSE:LTTS", "LTTS")</f>
        <v/>
      </c>
      <c r="B15" t="n">
        <v>199318</v>
      </c>
      <c r="C15" t="n">
        <v>56548.93333333333</v>
      </c>
      <c r="D15" t="n">
        <v>3.52</v>
      </c>
    </row>
    <row r="16">
      <c r="A16">
        <f>HYPERLINK("https://www.tradingview.com/chart/?symbol=NSE:ULTRACEMCO", "ULTRACEMCO")</f>
        <v/>
      </c>
      <c r="B16" t="n">
        <v>493227</v>
      </c>
      <c r="C16" t="n">
        <v>154000.6666666667</v>
      </c>
      <c r="D16" t="n">
        <v>3.2</v>
      </c>
    </row>
    <row r="17">
      <c r="A17">
        <f>HYPERLINK("https://www.tradingview.com/chart/?symbol=NSE:CESC", "CESC")</f>
        <v/>
      </c>
      <c r="B17" t="n">
        <v>2635638</v>
      </c>
      <c r="C17" t="n">
        <v>872928.1666666666</v>
      </c>
      <c r="D17" t="n">
        <v>3.02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2026-03-14T19:45:03Z</dcterms:created>
  <dcterms:modified xsi:type="dcterms:W3CDTF">2026-03-14T19:45:03Z</dcterms:modified>
</cp:coreProperties>
</file>