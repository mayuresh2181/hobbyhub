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9" customWidth="1" min="2" max="2"/>
    <col width="15" customWidth="1" min="3" max="3"/>
    <col width="15" customWidth="1" min="4" max="4"/>
    <col width="13" customWidth="1" min="5" max="5"/>
    <col width="20" customWidth="1" min="6" max="6"/>
    <col width="17" customWidth="1" min="7" max="7"/>
    <col width="18" customWidth="1" min="8" max="8"/>
    <col width="20" customWidth="1" min="9" max="9"/>
  </cols>
  <sheetData>
    <row r="1">
      <c r="A1" s="1" t="inlineStr">
        <is>
          <t>SYMBOL</t>
        </is>
      </c>
      <c r="B1" s="1" t="inlineStr">
        <is>
          <t>LTP</t>
        </is>
      </c>
      <c r="C1" s="1" t="inlineStr">
        <is>
          <t>TOTAL_VOLUME</t>
        </is>
      </c>
      <c r="D1" s="1" t="inlineStr">
        <is>
          <t>DELIVERY_QTY</t>
        </is>
      </c>
      <c r="E1" s="1" t="inlineStr">
        <is>
          <t>DELIVERY_%</t>
        </is>
      </c>
      <c r="F1" s="1" t="inlineStr">
        <is>
          <t>AVG_30_DELIVERY</t>
        </is>
      </c>
      <c r="G1" s="1" t="inlineStr">
        <is>
          <t>DELIVERY_RATIO</t>
        </is>
      </c>
      <c r="H1" s="1" t="inlineStr">
        <is>
          <t>TRADED_VALUE_CR</t>
        </is>
      </c>
      <c r="I1" s="1" t="inlineStr">
        <is>
          <t>DELIVERY_VALUE_CR</t>
        </is>
      </c>
    </row>
    <row r="2">
      <c r="A2">
        <f>HYPERLINK("https://www.tradingview.com/chart/?symbol=NSE:HINDUNILVR","HINDUNILVR")</f>
        <v/>
      </c>
      <c r="B2" t="n">
        <v>2022.7</v>
      </c>
      <c r="C2" t="n">
        <v>9947304</v>
      </c>
      <c r="D2" t="n">
        <v>5235302</v>
      </c>
      <c r="E2" t="n">
        <v>52.63</v>
      </c>
      <c r="F2" t="n">
        <v>939731.3</v>
      </c>
      <c r="G2" t="n">
        <v>5.57</v>
      </c>
      <c r="H2" t="n">
        <v>2012.04</v>
      </c>
      <c r="I2" t="n">
        <v>1058.94</v>
      </c>
    </row>
    <row r="3">
      <c r="A3">
        <f>HYPERLINK("https://www.tradingview.com/chart/?symbol=NSE:VBL","VBL")</f>
        <v/>
      </c>
      <c r="B3" t="n">
        <v>430</v>
      </c>
      <c r="C3" t="n">
        <v>47975773</v>
      </c>
      <c r="D3" t="n">
        <v>19943342</v>
      </c>
      <c r="E3" t="n">
        <v>41.57</v>
      </c>
      <c r="F3" t="n">
        <v>3236351.833333333</v>
      </c>
      <c r="G3" t="n">
        <v>6.16</v>
      </c>
      <c r="H3" t="n">
        <v>2062.96</v>
      </c>
      <c r="I3" t="n">
        <v>857.5599999999999</v>
      </c>
    </row>
    <row r="4">
      <c r="A4">
        <f>HYPERLINK("https://www.tradingview.com/chart/?symbol=NSE:GODFRYPHLP","GODFRYPHLP")</f>
        <v/>
      </c>
      <c r="B4" t="n">
        <v>2031.3</v>
      </c>
      <c r="C4" t="n">
        <v>2724128</v>
      </c>
      <c r="D4" t="n">
        <v>651677</v>
      </c>
      <c r="E4" t="n">
        <v>23.92</v>
      </c>
      <c r="F4" t="n">
        <v>86277.13333333333</v>
      </c>
      <c r="G4" t="n">
        <v>7.55</v>
      </c>
      <c r="H4" t="n">
        <v>553.35</v>
      </c>
      <c r="I4" t="n">
        <v>132.38</v>
      </c>
    </row>
    <row r="5">
      <c r="A5">
        <f>HYPERLINK("https://www.tradingview.com/chart/?symbol=NSE:TTKPRESTIG","TTKPRESTIG")</f>
        <v/>
      </c>
      <c r="B5" t="n">
        <v>702.25</v>
      </c>
      <c r="C5" t="n">
        <v>11906234</v>
      </c>
      <c r="D5" t="n">
        <v>745538</v>
      </c>
      <c r="E5" t="n">
        <v>6.26</v>
      </c>
      <c r="F5" t="n">
        <v>57092.33333333334</v>
      </c>
      <c r="G5" t="n">
        <v>13.06</v>
      </c>
      <c r="H5" t="n">
        <v>836.12</v>
      </c>
      <c r="I5" t="n">
        <v>52.36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2026-07-28T20:03:53Z</dcterms:created>
  <dcterms:modified xsi:type="dcterms:W3CDTF">2026-07-28T20:03:53Z</dcterms:modified>
</cp:coreProperties>
</file>