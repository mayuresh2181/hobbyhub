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HYPERLINK("https://www.tradingview.com/chart/?symbol=NSE:ATGL", "ATGL")</f>
        <v/>
      </c>
      <c r="B2" t="n">
        <v>4673533</v>
      </c>
      <c r="C2" t="n">
        <v>387902.8666666666</v>
      </c>
      <c r="D2" t="n">
        <v>12.05</v>
      </c>
    </row>
    <row r="3">
      <c r="A3">
        <f>HYPERLINK("https://www.tradingview.com/chart/?symbol=NSE:DOMS", "DOMS")</f>
        <v/>
      </c>
      <c r="B3" t="n">
        <v>327675</v>
      </c>
      <c r="C3" t="n">
        <v>28739.76666666667</v>
      </c>
      <c r="D3" t="n">
        <v>11.4</v>
      </c>
    </row>
    <row r="4">
      <c r="A4">
        <f>HYPERLINK("https://www.tradingview.com/chart/?symbol=NSE:NTPCGREEN", "NTPCGREEN")</f>
        <v/>
      </c>
      <c r="B4" t="n">
        <v>18400388</v>
      </c>
      <c r="C4" t="n">
        <v>2197591.566666667</v>
      </c>
      <c r="D4" t="n">
        <v>8.369999999999999</v>
      </c>
    </row>
    <row r="5">
      <c r="A5">
        <f>HYPERLINK("https://www.tradingview.com/chart/?symbol=NSE:MGL", "MGL")</f>
        <v/>
      </c>
      <c r="B5" t="n">
        <v>1061105</v>
      </c>
      <c r="C5" t="n">
        <v>166151.6333333333</v>
      </c>
      <c r="D5" t="n">
        <v>6.39</v>
      </c>
    </row>
    <row r="6">
      <c r="A6">
        <f>HYPERLINK("https://www.tradingview.com/chart/?symbol=NSE:GUJGASLTD", "GUJGASLTD")</f>
        <v/>
      </c>
      <c r="B6" t="n">
        <v>1473665</v>
      </c>
      <c r="C6" t="n">
        <v>251894.8666666667</v>
      </c>
      <c r="D6" t="n">
        <v>5.85</v>
      </c>
    </row>
    <row r="7">
      <c r="A7">
        <f>HYPERLINK("https://www.tradingview.com/chart/?symbol=NSE:GODREJCP", "GODREJCP")</f>
        <v/>
      </c>
      <c r="B7" t="n">
        <v>4269193</v>
      </c>
      <c r="C7" t="n">
        <v>771914.5</v>
      </c>
      <c r="D7" t="n">
        <v>5.53</v>
      </c>
    </row>
    <row r="8">
      <c r="A8">
        <f>HYPERLINK("https://www.tradingview.com/chart/?symbol=NSE:CGCL", "CGCL")</f>
        <v/>
      </c>
      <c r="B8" t="n">
        <v>4133491</v>
      </c>
      <c r="C8" t="n">
        <v>770631.6</v>
      </c>
      <c r="D8" t="n">
        <v>5.36</v>
      </c>
    </row>
    <row r="9">
      <c r="A9">
        <f>HYPERLINK("https://www.tradingview.com/chart/?symbol=NSE:JSWENERGY", "JSWENERGY")</f>
        <v/>
      </c>
      <c r="B9" t="n">
        <v>5713938</v>
      </c>
      <c r="C9" t="n">
        <v>1131223.166666667</v>
      </c>
      <c r="D9" t="n">
        <v>5.05</v>
      </c>
    </row>
    <row r="10">
      <c r="A10">
        <f>HYPERLINK("https://www.tradingview.com/chart/?symbol=NSE:JINDALSAW", "JINDALSAW")</f>
        <v/>
      </c>
      <c r="B10" t="n">
        <v>4945800</v>
      </c>
      <c r="C10" t="n">
        <v>1153414.5</v>
      </c>
      <c r="D10" t="n">
        <v>4.29</v>
      </c>
    </row>
    <row r="11">
      <c r="A11">
        <f>HYPERLINK("https://www.tradingview.com/chart/?symbol=NSE:ANGELONE", "ANGELONE")</f>
        <v/>
      </c>
      <c r="B11" t="n">
        <v>4472571</v>
      </c>
      <c r="C11" t="n">
        <v>1107734.1</v>
      </c>
      <c r="D11" t="n">
        <v>4.04</v>
      </c>
    </row>
    <row r="12">
      <c r="A12">
        <f>HYPERLINK("https://www.tradingview.com/chart/?symbol=NSE:TATAPOWER", "TATAPOWER")</f>
        <v/>
      </c>
      <c r="B12" t="n">
        <v>7792220</v>
      </c>
      <c r="C12" t="n">
        <v>2035762.6</v>
      </c>
      <c r="D12" t="n">
        <v>3.83</v>
      </c>
    </row>
    <row r="13">
      <c r="A13">
        <f>HYPERLINK("https://www.tradingview.com/chart/?symbol=NSE:DEVYANI", "DEVYANI")</f>
        <v/>
      </c>
      <c r="B13" t="n">
        <v>4386202</v>
      </c>
      <c r="C13" t="n">
        <v>1156816.133333333</v>
      </c>
      <c r="D13" t="n">
        <v>3.79</v>
      </c>
    </row>
    <row r="14">
      <c r="A14">
        <f>HYPERLINK("https://www.tradingview.com/chart/?symbol=NSE:NIVABUPA", "NIVABUPA")</f>
        <v/>
      </c>
      <c r="B14" t="n">
        <v>2116393</v>
      </c>
      <c r="C14" t="n">
        <v>560819.7</v>
      </c>
      <c r="D14" t="n">
        <v>3.77</v>
      </c>
    </row>
    <row r="15">
      <c r="A15">
        <f>HYPERLINK("https://www.tradingview.com/chart/?symbol=NSE:NLCINDIA", "NLCINDIA")</f>
        <v/>
      </c>
      <c r="B15" t="n">
        <v>2724073</v>
      </c>
      <c r="C15" t="n">
        <v>766588.7333333333</v>
      </c>
      <c r="D15" t="n">
        <v>3.55</v>
      </c>
    </row>
    <row r="16">
      <c r="A16">
        <f>HYPERLINK("https://www.tradingview.com/chart/?symbol=NSE:AMBUJACEM", "AMBUJACEM")</f>
        <v/>
      </c>
      <c r="B16" t="n">
        <v>3877353</v>
      </c>
      <c r="C16" t="n">
        <v>1112522.133333333</v>
      </c>
      <c r="D16" t="n">
        <v>3.49</v>
      </c>
    </row>
    <row r="17">
      <c r="A17">
        <f>HYPERLINK("https://www.tradingview.com/chart/?symbol=NSE:BRITANNIA", "BRITANNIA")</f>
        <v/>
      </c>
      <c r="B17" t="n">
        <v>657435</v>
      </c>
      <c r="C17" t="n">
        <v>191408.2333333333</v>
      </c>
      <c r="D17" t="n">
        <v>3.43</v>
      </c>
    </row>
    <row r="18">
      <c r="A18">
        <f>HYPERLINK("https://www.tradingview.com/chart/?symbol=NSE:MANYAVAR", "MANYAVAR")</f>
        <v/>
      </c>
      <c r="B18" t="n">
        <v>650365</v>
      </c>
      <c r="C18" t="n">
        <v>192509.2333333333</v>
      </c>
      <c r="D18" t="n">
        <v>3.38</v>
      </c>
    </row>
    <row r="19">
      <c r="A19">
        <f>HYPERLINK("https://www.tradingview.com/chart/?symbol=NSE:CONCOR", "CONCOR")</f>
        <v/>
      </c>
      <c r="B19" t="n">
        <v>2406485</v>
      </c>
      <c r="C19" t="n">
        <v>721287.6666666666</v>
      </c>
      <c r="D19" t="n">
        <v>3.34</v>
      </c>
    </row>
    <row r="20">
      <c r="A20">
        <f>HYPERLINK("https://www.tradingview.com/chart/?symbol=NSE:BAYERCROP", "BAYERCROP")</f>
        <v/>
      </c>
      <c r="B20" t="n">
        <v>35927</v>
      </c>
      <c r="C20" t="n">
        <v>11041.73333333333</v>
      </c>
      <c r="D20" t="n">
        <v>3.25</v>
      </c>
    </row>
    <row r="21">
      <c r="A21">
        <f>HYPERLINK("https://www.tradingview.com/chart/?symbol=NSE:ADANIGREEN", "ADANIGREEN")</f>
        <v/>
      </c>
      <c r="B21" t="n">
        <v>2950682</v>
      </c>
      <c r="C21" t="n">
        <v>937990.9333333333</v>
      </c>
      <c r="D21" t="n">
        <v>3.15</v>
      </c>
    </row>
    <row r="22">
      <c r="A22">
        <f>HYPERLINK("https://www.tradingview.com/chart/?symbol=NSE:HFCL", "HFCL")</f>
        <v/>
      </c>
      <c r="B22" t="n">
        <v>20251404</v>
      </c>
      <c r="C22" t="n">
        <v>6521679.066666666</v>
      </c>
      <c r="D22" t="n">
        <v>3.11</v>
      </c>
    </row>
    <row r="23">
      <c r="A23">
        <f>HYPERLINK("https://www.tradingview.com/chart/?symbol=NSE:RHIM", "RHIM")</f>
        <v/>
      </c>
      <c r="B23" t="n">
        <v>340247</v>
      </c>
      <c r="C23" t="n">
        <v>110935.4</v>
      </c>
      <c r="D23" t="n">
        <v>3.07</v>
      </c>
    </row>
    <row r="24">
      <c r="A24">
        <f>HYPERLINK("https://www.tradingview.com/chart/?symbol=NSE:SAPPHIRE", "SAPPHIRE")</f>
        <v/>
      </c>
      <c r="B24" t="n">
        <v>769419</v>
      </c>
      <c r="C24" t="n">
        <v>251653.2666666667</v>
      </c>
      <c r="D24" t="n">
        <v>3.06</v>
      </c>
    </row>
    <row r="25">
      <c r="A25">
        <f>HYPERLINK("https://www.tradingview.com/chart/?symbol=NSE:TVSMOTOR", "TVSMOTOR")</f>
        <v/>
      </c>
      <c r="B25" t="n">
        <v>1385307</v>
      </c>
      <c r="C25" t="n">
        <v>458710</v>
      </c>
      <c r="D25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2026-03-13T19:56:52Z</dcterms:created>
  <dcterms:modified xsi:type="dcterms:W3CDTF">2026-03-13T19:56:52Z</dcterms:modified>
</cp:coreProperties>
</file>