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HYPERLINK("https://www.tradingview.com/chart/?symbol=NSE:HSCL", "HSCL")</f>
        <v/>
      </c>
      <c r="B2" t="n">
        <v>6274444</v>
      </c>
      <c r="C2" t="n">
        <v>714812.7666666667</v>
      </c>
      <c r="D2" t="n">
        <v>8.779999999999999</v>
      </c>
    </row>
    <row r="3">
      <c r="A3">
        <f>HYPERLINK("https://www.tradingview.com/chart/?symbol=NSE:IKS", "IKS")</f>
        <v/>
      </c>
      <c r="B3" t="n">
        <v>924463</v>
      </c>
      <c r="C3" t="n">
        <v>149316.9333333333</v>
      </c>
      <c r="D3" t="n">
        <v>6.19</v>
      </c>
    </row>
    <row r="4">
      <c r="A4">
        <f>HYPERLINK("https://www.tradingview.com/chart/?symbol=NSE:ABSLAMC", "ABSLAMC")</f>
        <v/>
      </c>
      <c r="B4" t="n">
        <v>1114730</v>
      </c>
      <c r="C4" t="n">
        <v>214405.6666666667</v>
      </c>
      <c r="D4" t="n">
        <v>5.2</v>
      </c>
    </row>
    <row r="5">
      <c r="A5">
        <f>HYPERLINK("https://www.tradingview.com/chart/?symbol=NSE:TORNTPOWER", "TORNTPOWER")</f>
        <v/>
      </c>
      <c r="B5" t="n">
        <v>1863966</v>
      </c>
      <c r="C5" t="n">
        <v>363479.5666666667</v>
      </c>
      <c r="D5" t="n">
        <v>5.13</v>
      </c>
    </row>
    <row r="6">
      <c r="A6">
        <f>HYPERLINK("https://www.tradingview.com/chart/?symbol=NSE:UTIAMC", "UTIAMC")</f>
        <v/>
      </c>
      <c r="B6" t="n">
        <v>664969</v>
      </c>
      <c r="C6" t="n">
        <v>129574.5333333333</v>
      </c>
      <c r="D6" t="n">
        <v>5.13</v>
      </c>
    </row>
    <row r="7">
      <c r="A7">
        <f>HYPERLINK("https://www.tradingview.com/chart/?symbol=NSE:PVRINOX", "PVRINOX")</f>
        <v/>
      </c>
      <c r="B7" t="n">
        <v>1157887</v>
      </c>
      <c r="C7" t="n">
        <v>242431.7333333333</v>
      </c>
      <c r="D7" t="n">
        <v>4.78</v>
      </c>
    </row>
    <row r="8">
      <c r="A8">
        <f>HYPERLINK("https://www.tradingview.com/chart/?symbol=NSE:CYIENT", "CYIENT")</f>
        <v/>
      </c>
      <c r="B8" t="n">
        <v>881069</v>
      </c>
      <c r="C8" t="n">
        <v>198014.7333333333</v>
      </c>
      <c r="D8" t="n">
        <v>4.45</v>
      </c>
    </row>
    <row r="9">
      <c r="A9">
        <f>HYPERLINK("https://www.tradingview.com/chart/?symbol=NSE:ASTRAL", "ASTRAL")</f>
        <v/>
      </c>
      <c r="B9" t="n">
        <v>1578270</v>
      </c>
      <c r="C9" t="n">
        <v>357646.8</v>
      </c>
      <c r="D9" t="n">
        <v>4.41</v>
      </c>
    </row>
    <row r="10">
      <c r="A10">
        <f>HYPERLINK("https://www.tradingview.com/chart/?symbol=NSE:HUDCO", "HUDCO")</f>
        <v/>
      </c>
      <c r="B10" t="n">
        <v>7073735</v>
      </c>
      <c r="C10" t="n">
        <v>1753664.3</v>
      </c>
      <c r="D10" t="n">
        <v>4.03</v>
      </c>
    </row>
    <row r="11">
      <c r="A11">
        <f>HYPERLINK("https://www.tradingview.com/chart/?symbol=NSE:SBILIFE", "SBILIFE")</f>
        <v/>
      </c>
      <c r="B11" t="n">
        <v>3665172</v>
      </c>
      <c r="C11" t="n">
        <v>1003543.933333333</v>
      </c>
      <c r="D11" t="n">
        <v>3.65</v>
      </c>
    </row>
    <row r="12">
      <c r="A12">
        <f>HYPERLINK("https://www.tradingview.com/chart/?symbol=NSE:FLUOROCHEM", "FLUOROCHEM")</f>
        <v/>
      </c>
      <c r="B12" t="n">
        <v>169996</v>
      </c>
      <c r="C12" t="n">
        <v>48070.96666666667</v>
      </c>
      <c r="D12" t="n">
        <v>3.54</v>
      </c>
    </row>
    <row r="13">
      <c r="A13">
        <f>HYPERLINK("https://www.tradingview.com/chart/?symbol=NSE:TATACOMM", "TATACOMM")</f>
        <v/>
      </c>
      <c r="B13" t="n">
        <v>768043</v>
      </c>
      <c r="C13" t="n">
        <v>217301.3333333333</v>
      </c>
      <c r="D13" t="n">
        <v>3.53</v>
      </c>
    </row>
    <row r="14">
      <c r="A14">
        <f>HYPERLINK("https://www.tradingview.com/chart/?symbol=NSE:COCHINSHIP", "COCHINSHIP")</f>
        <v/>
      </c>
      <c r="B14" t="n">
        <v>1755922</v>
      </c>
      <c r="C14" t="n">
        <v>516859.4666666667</v>
      </c>
      <c r="D14" t="n">
        <v>3.4</v>
      </c>
    </row>
    <row r="15">
      <c r="A15">
        <f>HYPERLINK("https://www.tradingview.com/chart/?symbol=NSE:INFY", "INFY")</f>
        <v/>
      </c>
      <c r="B15" t="n">
        <v>24267713</v>
      </c>
      <c r="C15" t="n">
        <v>7144137.7</v>
      </c>
      <c r="D15" t="n">
        <v>3.4</v>
      </c>
    </row>
    <row r="16">
      <c r="A16">
        <f>HYPERLINK("https://www.tradingview.com/chart/?symbol=NSE:POLYMED", "POLYMED")</f>
        <v/>
      </c>
      <c r="B16" t="n">
        <v>262312</v>
      </c>
      <c r="C16" t="n">
        <v>78887.23333333334</v>
      </c>
      <c r="D16" t="n">
        <v>3.33</v>
      </c>
    </row>
    <row r="17">
      <c r="A17">
        <f>HYPERLINK("https://www.tradingview.com/chart/?symbol=NSE:PPLPHARMA", "PPLPHARMA")</f>
        <v/>
      </c>
      <c r="B17" t="n">
        <v>4454552</v>
      </c>
      <c r="C17" t="n">
        <v>1342293.033333333</v>
      </c>
      <c r="D17" t="n">
        <v>3.32</v>
      </c>
    </row>
    <row r="18">
      <c r="A18">
        <f>HYPERLINK("https://www.tradingview.com/chart/?symbol=NSE:VTL", "VTL")</f>
        <v/>
      </c>
      <c r="B18" t="n">
        <v>963769</v>
      </c>
      <c r="C18" t="n">
        <v>291414.3333333333</v>
      </c>
      <c r="D18" t="n">
        <v>3.31</v>
      </c>
    </row>
    <row r="19">
      <c r="A19">
        <f>HYPERLINK("https://www.tradingview.com/chart/?symbol=NSE:ATUL", "ATUL")</f>
        <v/>
      </c>
      <c r="B19" t="n">
        <v>61578</v>
      </c>
      <c r="C19" t="n">
        <v>19767.53333333333</v>
      </c>
      <c r="D19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2026-04-26T19:33:06Z</dcterms:created>
  <dcterms:modified xsi:type="dcterms:W3CDTF">2026-04-26T19:33:06Z</dcterms:modified>
</cp:coreProperties>
</file>