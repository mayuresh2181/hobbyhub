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HYPERLINK("https://www.tradingview.com/chart/?symbol=NSE:CONCORDBIO", "CONCORDBIO")</f>
        <v/>
      </c>
      <c r="B2" t="n">
        <v>728335</v>
      </c>
      <c r="C2" t="n">
        <v>70100.33333333333</v>
      </c>
      <c r="D2" t="n">
        <v>10.39</v>
      </c>
    </row>
    <row r="3">
      <c r="A3">
        <f>HYPERLINK("https://www.tradingview.com/chart/?symbol=NSE:SCHAEFFLER", "SCHAEFFLER")</f>
        <v/>
      </c>
      <c r="B3" t="n">
        <v>400572</v>
      </c>
      <c r="C3" t="n">
        <v>45069.66666666666</v>
      </c>
      <c r="D3" t="n">
        <v>8.890000000000001</v>
      </c>
    </row>
    <row r="4">
      <c r="A4">
        <f>HYPERLINK("https://www.tradingview.com/chart/?symbol=NSE:WAAREEENER", "WAAREEENER")</f>
        <v/>
      </c>
      <c r="B4" t="n">
        <v>2531646</v>
      </c>
      <c r="C4" t="n">
        <v>510850.6666666667</v>
      </c>
      <c r="D4" t="n">
        <v>4.96</v>
      </c>
    </row>
    <row r="5">
      <c r="A5">
        <f>HYPERLINK("https://www.tradingview.com/chart/?symbol=NSE:AADHARHFC", "AADHARHFC")</f>
        <v/>
      </c>
      <c r="B5" t="n">
        <v>1361664</v>
      </c>
      <c r="C5" t="n">
        <v>275635.9333333333</v>
      </c>
      <c r="D5" t="n">
        <v>4.94</v>
      </c>
    </row>
    <row r="6">
      <c r="A6">
        <f>HYPERLINK("https://www.tradingview.com/chart/?symbol=NSE:USHAMART", "USHAMART")</f>
        <v/>
      </c>
      <c r="B6" t="n">
        <v>1017688</v>
      </c>
      <c r="C6" t="n">
        <v>242444.3666666667</v>
      </c>
      <c r="D6" t="n">
        <v>4.2</v>
      </c>
    </row>
    <row r="7">
      <c r="A7">
        <f>HYPERLINK("https://www.tradingview.com/chart/?symbol=NSE:IRFC", "IRFC")</f>
        <v/>
      </c>
      <c r="B7" t="n">
        <v>17892651</v>
      </c>
      <c r="C7" t="n">
        <v>4680321.3</v>
      </c>
      <c r="D7" t="n">
        <v>3.82</v>
      </c>
    </row>
    <row r="8">
      <c r="A8">
        <f>HYPERLINK("https://www.tradingview.com/chart/?symbol=NSE:ABCAPITAL", "ABCAPITAL")</f>
        <v/>
      </c>
      <c r="B8" t="n">
        <v>11142723</v>
      </c>
      <c r="C8" t="n">
        <v>3135995.1</v>
      </c>
      <c r="D8" t="n">
        <v>3.55</v>
      </c>
    </row>
    <row r="9">
      <c r="A9">
        <f>HYPERLINK("https://www.tradingview.com/chart/?symbol=NSE:MANAPPURAM", "MANAPPURAM")</f>
        <v/>
      </c>
      <c r="B9" t="n">
        <v>5465271</v>
      </c>
      <c r="C9" t="n">
        <v>1559894.366666667</v>
      </c>
      <c r="D9" t="n">
        <v>3.5</v>
      </c>
    </row>
    <row r="10">
      <c r="A10">
        <f>HYPERLINK("https://www.tradingview.com/chart/?symbol=NSE:KSB", "KSB")</f>
        <v/>
      </c>
      <c r="B10" t="n">
        <v>106013</v>
      </c>
      <c r="C10" t="n">
        <v>35052.13333333333</v>
      </c>
      <c r="D10" t="n">
        <v>3.02</v>
      </c>
    </row>
    <row r="11">
      <c r="A11">
        <f>HYPERLINK("https://www.tradingview.com/chart/?symbol=NSE:FSL", "FSL")</f>
        <v/>
      </c>
      <c r="B11" t="n">
        <v>1541106</v>
      </c>
      <c r="C11" t="n">
        <v>510164.2</v>
      </c>
      <c r="D11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2026-02-26T04:36:13Z</dcterms:created>
  <dcterms:modified xsi:type="dcterms:W3CDTF">2026-02-26T04:36:13Z</dcterms:modified>
</cp:coreProperties>
</file>