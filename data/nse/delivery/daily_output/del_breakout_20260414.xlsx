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HYPERLINK("https://www.tradingview.com/chart/?symbol=NSE:JYOTICNC", "JYOTICNC")</f>
        <v/>
      </c>
      <c r="B2" t="n">
        <v>3016897</v>
      </c>
      <c r="C2" t="n">
        <v>380835.1666666667</v>
      </c>
      <c r="D2" t="n">
        <v>7.92</v>
      </c>
    </row>
    <row r="3">
      <c r="A3">
        <f>HYPERLINK("https://www.tradingview.com/chart/?symbol=NSE:BHEL", "BHEL")</f>
        <v/>
      </c>
      <c r="B3" t="n">
        <v>24077923</v>
      </c>
      <c r="C3" t="n">
        <v>5476485.733333333</v>
      </c>
      <c r="D3" t="n">
        <v>4.4</v>
      </c>
    </row>
    <row r="4">
      <c r="A4">
        <f>HYPERLINK("https://www.tradingview.com/chart/?symbol=NSE:TATACHEM", "TATACHEM")</f>
        <v/>
      </c>
      <c r="B4" t="n">
        <v>1846793</v>
      </c>
      <c r="C4" t="n">
        <v>425983.5333333333</v>
      </c>
      <c r="D4" t="n">
        <v>4.34</v>
      </c>
    </row>
    <row r="5">
      <c r="A5">
        <f>HYPERLINK("https://www.tradingview.com/chart/?symbol=NSE:TATAINVEST", "TATAINVEST")</f>
        <v/>
      </c>
      <c r="B5" t="n">
        <v>1109862</v>
      </c>
      <c r="C5" t="n">
        <v>273518.3666666666</v>
      </c>
      <c r="D5" t="n">
        <v>4.06</v>
      </c>
    </row>
    <row r="6">
      <c r="A6">
        <f>HYPERLINK("https://www.tradingview.com/chart/?symbol=NSE:ZYDUSWELL", "ZYDUSWELL")</f>
        <v/>
      </c>
      <c r="B6" t="n">
        <v>1450238</v>
      </c>
      <c r="C6" t="n">
        <v>361858.6</v>
      </c>
      <c r="D6" t="n">
        <v>4.01</v>
      </c>
    </row>
    <row r="7">
      <c r="A7">
        <f>HYPERLINK("https://www.tradingview.com/chart/?symbol=NSE:TRITURBINE", "TRITURBINE")</f>
        <v/>
      </c>
      <c r="B7" t="n">
        <v>891098</v>
      </c>
      <c r="C7" t="n">
        <v>228913.9333333333</v>
      </c>
      <c r="D7" t="n">
        <v>3.89</v>
      </c>
    </row>
    <row r="8">
      <c r="A8">
        <f>HYPERLINK("https://www.tradingview.com/chart/?symbol=NSE:ONESOURCE", "ONESOURCE")</f>
        <v/>
      </c>
      <c r="B8" t="n">
        <v>830102</v>
      </c>
      <c r="C8" t="n">
        <v>221216.2666666667</v>
      </c>
      <c r="D8" t="n">
        <v>3.75</v>
      </c>
    </row>
    <row r="9">
      <c r="A9">
        <f>HYPERLINK("https://www.tradingview.com/chart/?symbol=NSE:NIACL", "NIACL")</f>
        <v/>
      </c>
      <c r="B9" t="n">
        <v>1880317</v>
      </c>
      <c r="C9" t="n">
        <v>542483.8333333334</v>
      </c>
      <c r="D9" t="n">
        <v>3.47</v>
      </c>
    </row>
    <row r="10">
      <c r="A10">
        <f>HYPERLINK("https://www.tradingview.com/chart/?symbol=NSE:ATHERENERG", "ATHERENERG")</f>
        <v/>
      </c>
      <c r="B10" t="n">
        <v>3249967</v>
      </c>
      <c r="C10" t="n">
        <v>982597.4333333333</v>
      </c>
      <c r="D10" t="n">
        <v>3.31</v>
      </c>
    </row>
    <row r="11">
      <c r="A11">
        <f>HYPERLINK("https://www.tradingview.com/chart/?symbol=NSE:NTPCGREEN", "NTPCGREEN")</f>
        <v/>
      </c>
      <c r="B11" t="n">
        <v>14407573</v>
      </c>
      <c r="C11" t="n">
        <v>4536022.566666666</v>
      </c>
      <c r="D11" t="n">
        <v>3.18</v>
      </c>
    </row>
    <row r="12">
      <c r="A12">
        <f>HYPERLINK("https://www.tradingview.com/chart/?symbol=NSE:APLAPOLLO", "APLAPOLLO")</f>
        <v/>
      </c>
      <c r="B12" t="n">
        <v>1243835</v>
      </c>
      <c r="C12" t="n">
        <v>399618.4666666667</v>
      </c>
      <c r="D12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2026-04-15T19:54:31Z</dcterms:created>
  <dcterms:modified xsi:type="dcterms:W3CDTF">2026-04-15T19:54:31Z</dcterms:modified>
</cp:coreProperties>
</file>