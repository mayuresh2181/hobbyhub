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HYPERLINK("https://www.tradingview.com/chart/?symbol=NSE:GMRAIRPORT", "GMRAIRPORT")</f>
        <v/>
      </c>
      <c r="B2" t="n">
        <v>47991415</v>
      </c>
      <c r="C2" t="n">
        <v>8191588.966666667</v>
      </c>
      <c r="D2" t="n">
        <v>5.86</v>
      </c>
    </row>
    <row r="3">
      <c r="A3">
        <f>HYPERLINK("https://www.tradingview.com/chart/?symbol=NSE:SAPPHIRE", "SAPPHIRE")</f>
        <v/>
      </c>
      <c r="B3" t="n">
        <v>1998719</v>
      </c>
      <c r="C3" t="n">
        <v>404976.8</v>
      </c>
      <c r="D3" t="n">
        <v>4.94</v>
      </c>
    </row>
    <row r="4">
      <c r="A4">
        <f>HYPERLINK("https://www.tradingview.com/chart/?symbol=NSE:BLUEDART", "BLUEDART")</f>
        <v/>
      </c>
      <c r="B4" t="n">
        <v>22341</v>
      </c>
      <c r="C4" t="n">
        <v>5243.033333333334</v>
      </c>
      <c r="D4" t="n">
        <v>4.26</v>
      </c>
    </row>
    <row r="5">
      <c r="A5">
        <f>HYPERLINK("https://www.tradingview.com/chart/?symbol=NSE:ABDL", "ABDL")</f>
        <v/>
      </c>
      <c r="B5" t="n">
        <v>815206</v>
      </c>
      <c r="C5" t="n">
        <v>217974.0333333333</v>
      </c>
      <c r="D5" t="n">
        <v>3.74</v>
      </c>
    </row>
    <row r="6">
      <c r="A6">
        <f>HYPERLINK("https://www.tradingview.com/chart/?symbol=NSE:CARBORUNIV", "CARBORUNIV")</f>
        <v/>
      </c>
      <c r="B6" t="n">
        <v>308090</v>
      </c>
      <c r="C6" t="n">
        <v>82642.36666666667</v>
      </c>
      <c r="D6" t="n">
        <v>3.73</v>
      </c>
    </row>
    <row r="7">
      <c r="A7">
        <f>HYPERLINK("https://www.tradingview.com/chart/?symbol=NSE:SHYAMMETL", "SHYAMMETL")</f>
        <v/>
      </c>
      <c r="B7" t="n">
        <v>495065</v>
      </c>
      <c r="C7" t="n">
        <v>138455.2333333333</v>
      </c>
      <c r="D7" t="n">
        <v>3.58</v>
      </c>
    </row>
    <row r="8">
      <c r="A8">
        <f>HYPERLINK("https://www.tradingview.com/chart/?symbol=NSE:ABBOTINDIA", "ABBOTINDIA")</f>
        <v/>
      </c>
      <c r="B8" t="n">
        <v>18028</v>
      </c>
      <c r="C8" t="n">
        <v>5099.366666666667</v>
      </c>
      <c r="D8" t="n">
        <v>3.54</v>
      </c>
    </row>
    <row r="9">
      <c r="A9">
        <f>HYPERLINK("https://www.tradingview.com/chart/?symbol=NSE:INDGN", "INDGN")</f>
        <v/>
      </c>
      <c r="B9" t="n">
        <v>1015123</v>
      </c>
      <c r="C9" t="n">
        <v>286504.2333333333</v>
      </c>
      <c r="D9" t="n">
        <v>3.54</v>
      </c>
    </row>
    <row r="10">
      <c r="A10">
        <f>HYPERLINK("https://www.tradingview.com/chart/?symbol=NSE:JUBLPHARMA", "JUBLPHARMA")</f>
        <v/>
      </c>
      <c r="B10" t="n">
        <v>296996</v>
      </c>
      <c r="C10" t="n">
        <v>90182</v>
      </c>
      <c r="D10" t="n">
        <v>3.29</v>
      </c>
    </row>
    <row r="11">
      <c r="A11">
        <f>HYPERLINK("https://www.tradingview.com/chart/?symbol=NSE:DMART", "DMART")</f>
        <v/>
      </c>
      <c r="B11" t="n">
        <v>917733</v>
      </c>
      <c r="C11" t="n">
        <v>284386.1666666667</v>
      </c>
      <c r="D11" t="n">
        <v>3.23</v>
      </c>
    </row>
    <row r="12">
      <c r="A12">
        <f>HYPERLINK("https://www.tradingview.com/chart/?symbol=NSE:COCHINSHIP", "COCHINSHIP")</f>
        <v/>
      </c>
      <c r="B12" t="n">
        <v>1031209</v>
      </c>
      <c r="C12" t="n">
        <v>320605.4333333333</v>
      </c>
      <c r="D12" t="n">
        <v>3.22</v>
      </c>
    </row>
    <row r="13">
      <c r="A13">
        <f>HYPERLINK("https://www.tradingview.com/chart/?symbol=NSE:ASHOKLEY", "ASHOKLEY")</f>
        <v/>
      </c>
      <c r="B13" t="n">
        <v>31258175</v>
      </c>
      <c r="C13" t="n">
        <v>10097817.13333333</v>
      </c>
      <c r="D13" t="n">
        <v>3.1</v>
      </c>
    </row>
    <row r="14">
      <c r="A14">
        <f>HYPERLINK("https://www.tradingview.com/chart/?symbol=NSE:IRB", "IRB")</f>
        <v/>
      </c>
      <c r="B14" t="n">
        <v>11766237</v>
      </c>
      <c r="C14" t="n">
        <v>3882721.066666667</v>
      </c>
      <c r="D14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2026-03-31T19:37:14Z</dcterms:created>
  <dcterms:modified xsi:type="dcterms:W3CDTF">2026-03-31T19:37:14Z</dcterms:modified>
</cp:coreProperties>
</file>