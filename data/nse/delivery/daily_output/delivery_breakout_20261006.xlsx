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HYPERLINK("https://www.tradingview.com/chart/?symbol=NSE:JINDALSTEL","JINDALSTEL")</f>
        <v/>
      </c>
      <c r="B2" t="n">
        <v>1085.9</v>
      </c>
      <c r="C2" t="n">
        <v>4442649</v>
      </c>
      <c r="D2" t="n">
        <v>2060533</v>
      </c>
      <c r="E2" t="n">
        <v>46.38</v>
      </c>
      <c r="F2" t="n">
        <v>335745.3</v>
      </c>
      <c r="G2" t="n">
        <v>6.14</v>
      </c>
      <c r="H2" t="n">
        <v>482.43</v>
      </c>
      <c r="I2" t="n">
        <v>223.75</v>
      </c>
    </row>
    <row r="3">
      <c r="A3">
        <f>HYPERLINK("https://www.tradingview.com/chart/?symbol=NSE:VOLTAS","VOLTAS")</f>
        <v/>
      </c>
      <c r="B3" t="n">
        <v>1067.9</v>
      </c>
      <c r="C3" t="n">
        <v>2705541</v>
      </c>
      <c r="D3" t="n">
        <v>1909046</v>
      </c>
      <c r="E3" t="n">
        <v>70.56</v>
      </c>
      <c r="F3" t="n">
        <v>341855.9666666667</v>
      </c>
      <c r="G3" t="n">
        <v>5.58</v>
      </c>
      <c r="H3" t="n">
        <v>288.92</v>
      </c>
      <c r="I3" t="n">
        <v>203.87</v>
      </c>
    </row>
    <row r="4">
      <c r="A4">
        <f>HYPERLINK("https://www.tradingview.com/chart/?symbol=NSE:MOBIKWIK","MOBIKWIK")</f>
        <v/>
      </c>
      <c r="B4" t="n">
        <v>242.14</v>
      </c>
      <c r="C4" t="n">
        <v>58640687</v>
      </c>
      <c r="D4" t="n">
        <v>6759235</v>
      </c>
      <c r="E4" t="n">
        <v>11.53</v>
      </c>
      <c r="F4" t="n">
        <v>591779.7</v>
      </c>
      <c r="G4" t="n">
        <v>11.42</v>
      </c>
      <c r="H4" t="n">
        <v>1419.93</v>
      </c>
      <c r="I4" t="n">
        <v>163.67</v>
      </c>
    </row>
    <row r="5">
      <c r="A5">
        <f>HYPERLINK("https://www.tradingview.com/chart/?symbol=NSE:OPTIEMUS","OPTIEMUS")</f>
        <v/>
      </c>
      <c r="B5" t="n">
        <v>889.9</v>
      </c>
      <c r="C5" t="n">
        <v>10818595</v>
      </c>
      <c r="D5" t="n">
        <v>1486319</v>
      </c>
      <c r="E5" t="n">
        <v>13.74</v>
      </c>
      <c r="F5" t="n">
        <v>274677.5333333333</v>
      </c>
      <c r="G5" t="n">
        <v>5.41</v>
      </c>
      <c r="H5" t="n">
        <v>962.75</v>
      </c>
      <c r="I5" t="n">
        <v>132.27</v>
      </c>
    </row>
    <row r="6">
      <c r="A6">
        <f>HYPERLINK("https://www.tradingview.com/chart/?symbol=NSE:BALAMINES","BALAMINES")</f>
        <v/>
      </c>
      <c r="B6" t="n">
        <v>2287.7</v>
      </c>
      <c r="C6" t="n">
        <v>2585710</v>
      </c>
      <c r="D6" t="n">
        <v>403141</v>
      </c>
      <c r="E6" t="n">
        <v>15.59</v>
      </c>
      <c r="F6" t="n">
        <v>77062.3</v>
      </c>
      <c r="G6" t="n">
        <v>5.23</v>
      </c>
      <c r="H6" t="n">
        <v>591.53</v>
      </c>
      <c r="I6" t="n">
        <v>92.23</v>
      </c>
    </row>
    <row r="7">
      <c r="A7">
        <f>HYPERLINK("https://www.tradingview.com/chart/?symbol=NSE:GOLDCASE","GOLDCASE")</f>
        <v/>
      </c>
      <c r="B7" t="n">
        <v>23.14</v>
      </c>
      <c r="C7" t="n">
        <v>43919555</v>
      </c>
      <c r="D7" t="n">
        <v>33472697</v>
      </c>
      <c r="E7" t="n">
        <v>76.20999999999999</v>
      </c>
      <c r="F7" t="n">
        <v>5901216.9</v>
      </c>
      <c r="G7" t="n">
        <v>5.67</v>
      </c>
      <c r="H7" t="n">
        <v>101.63</v>
      </c>
      <c r="I7" t="n">
        <v>77.45999999999999</v>
      </c>
    </row>
    <row r="8">
      <c r="A8">
        <f>HYPERLINK("https://www.tradingview.com/chart/?symbol=NSE:CELLO","CELLO")</f>
        <v/>
      </c>
      <c r="B8" t="n">
        <v>369.15</v>
      </c>
      <c r="C8" t="n">
        <v>20298731</v>
      </c>
      <c r="D8" t="n">
        <v>1958448</v>
      </c>
      <c r="E8" t="n">
        <v>9.65</v>
      </c>
      <c r="F8" t="n">
        <v>130586.9</v>
      </c>
      <c r="G8" t="n">
        <v>15</v>
      </c>
      <c r="H8" t="n">
        <v>749.33</v>
      </c>
      <c r="I8" t="n">
        <v>72.3</v>
      </c>
    </row>
    <row r="9">
      <c r="A9">
        <f>HYPERLINK("https://www.tradingview.com/chart/?symbol=NSE:HUDCO","HUDCO")</f>
        <v/>
      </c>
      <c r="B9" t="n">
        <v>161.04</v>
      </c>
      <c r="C9" t="n">
        <v>9805265</v>
      </c>
      <c r="D9" t="n">
        <v>4335860</v>
      </c>
      <c r="E9" t="n">
        <v>44.22</v>
      </c>
      <c r="F9" t="n">
        <v>836394.5</v>
      </c>
      <c r="G9" t="n">
        <v>5.18</v>
      </c>
      <c r="H9" t="n">
        <v>157.9</v>
      </c>
      <c r="I9" t="n">
        <v>69.81999999999999</v>
      </c>
    </row>
    <row r="10">
      <c r="A10">
        <f>HYPERLINK("https://www.tradingview.com/chart/?symbol=NSE:SATIN","SATIN")</f>
        <v/>
      </c>
      <c r="B10" t="n">
        <v>228.35</v>
      </c>
      <c r="C10" t="n">
        <v>4924729</v>
      </c>
      <c r="D10" t="n">
        <v>2214667</v>
      </c>
      <c r="E10" t="n">
        <v>44.97</v>
      </c>
      <c r="F10" t="n">
        <v>141550.5666666667</v>
      </c>
      <c r="G10" t="n">
        <v>15.65</v>
      </c>
      <c r="H10" t="n">
        <v>112.46</v>
      </c>
      <c r="I10" t="n">
        <v>50.57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2026-10-06T22:46:23Z</dcterms:created>
  <dcterms:modified xsi:type="dcterms:W3CDTF">2026-10-06T22:46:23Z</dcterms:modified>
</cp:coreProperties>
</file>