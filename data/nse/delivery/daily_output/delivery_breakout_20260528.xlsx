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HYPERLINK("https://www.tradingview.com/chart/?symbol=NSE:AIAENG","AIAENG")</f>
        <v/>
      </c>
      <c r="B2" t="n">
        <v>374629</v>
      </c>
      <c r="C2" t="n">
        <v>28942.41379310345</v>
      </c>
      <c r="D2" t="n">
        <v>12.94</v>
      </c>
    </row>
    <row r="3">
      <c r="A3">
        <f>HYPERLINK("https://www.tradingview.com/chart/?symbol=NSE:COALINDIA","COALINDIA")</f>
        <v/>
      </c>
      <c r="B3" t="n">
        <v>45394984</v>
      </c>
      <c r="C3" t="n">
        <v>6333579.482758621</v>
      </c>
      <c r="D3" t="n">
        <v>7.17</v>
      </c>
    </row>
    <row r="4">
      <c r="A4">
        <f>HYPERLINK("https://www.tradingview.com/chart/?symbol=NSE:GRANULES","GRANULES")</f>
        <v/>
      </c>
      <c r="B4" t="n">
        <v>5119462</v>
      </c>
      <c r="C4" t="n">
        <v>818136</v>
      </c>
      <c r="D4" t="n">
        <v>6.26</v>
      </c>
    </row>
    <row r="5">
      <c r="A5">
        <f>HYPERLINK("https://www.tradingview.com/chart/?symbol=NSE:PINELABS","PINELABS")</f>
        <v/>
      </c>
      <c r="B5" t="n">
        <v>29660283</v>
      </c>
      <c r="C5" t="n">
        <v>4923344.551724138</v>
      </c>
      <c r="D5" t="n">
        <v>6.02</v>
      </c>
    </row>
    <row r="6">
      <c r="A6">
        <f>HYPERLINK("https://www.tradingview.com/chart/?symbol=NSE:ATGL","ATGL")</f>
        <v/>
      </c>
      <c r="B6" t="n">
        <v>6124765</v>
      </c>
      <c r="C6" t="n">
        <v>1055677.586206896</v>
      </c>
      <c r="D6" t="n">
        <v>5.8</v>
      </c>
    </row>
    <row r="7">
      <c r="A7">
        <f>HYPERLINK("https://www.tradingview.com/chart/?symbol=NSE:FIRSTCRY","FIRSTCRY")</f>
        <v/>
      </c>
      <c r="B7" t="n">
        <v>3298675</v>
      </c>
      <c r="C7" t="n">
        <v>580754.4137931034</v>
      </c>
      <c r="D7" t="n">
        <v>5.68</v>
      </c>
    </row>
    <row r="8">
      <c r="A8">
        <f>HYPERLINK("https://www.tradingview.com/chart/?symbol=NSE:JPPOWER","JPPOWER")</f>
        <v/>
      </c>
      <c r="B8" t="n">
        <v>293640957</v>
      </c>
      <c r="C8" t="n">
        <v>53359784.72413793</v>
      </c>
      <c r="D8" t="n">
        <v>5.5</v>
      </c>
    </row>
    <row r="9">
      <c r="A9">
        <f>HYPERLINK("https://www.tradingview.com/chart/?symbol=NSE:TECHNOE","TECHNOE")</f>
        <v/>
      </c>
      <c r="B9" t="n">
        <v>939750</v>
      </c>
      <c r="C9" t="n">
        <v>202051.3103448276</v>
      </c>
      <c r="D9" t="n">
        <v>4.65</v>
      </c>
    </row>
    <row r="10">
      <c r="A10">
        <f>HYPERLINK("https://www.tradingview.com/chart/?symbol=NSE:SUNTV","SUNTV")</f>
        <v/>
      </c>
      <c r="B10" t="n">
        <v>1015903</v>
      </c>
      <c r="C10" t="n">
        <v>224548.275862069</v>
      </c>
      <c r="D10" t="n">
        <v>4.52</v>
      </c>
    </row>
    <row r="11">
      <c r="A11">
        <f>HYPERLINK("https://www.tradingview.com/chart/?symbol=NSE:ASAHIINDIA","ASAHIINDIA")</f>
        <v/>
      </c>
      <c r="B11" t="n">
        <v>207922</v>
      </c>
      <c r="C11" t="n">
        <v>52847.44827586207</v>
      </c>
      <c r="D11" t="n">
        <v>3.93</v>
      </c>
    </row>
    <row r="12">
      <c r="A12">
        <f>HYPERLINK("https://www.tradingview.com/chart/?symbol=NSE:JKTYRE","JKTYRE")</f>
        <v/>
      </c>
      <c r="B12" t="n">
        <v>1871080</v>
      </c>
      <c r="C12" t="n">
        <v>484941</v>
      </c>
      <c r="D12" t="n">
        <v>3.86</v>
      </c>
    </row>
    <row r="13">
      <c r="A13">
        <f>HYPERLINK("https://www.tradingview.com/chart/?symbol=NSE:POLYMED","POLYMED")</f>
        <v/>
      </c>
      <c r="B13" t="n">
        <v>257802</v>
      </c>
      <c r="C13" t="n">
        <v>68383.58620689655</v>
      </c>
      <c r="D13" t="n">
        <v>3.77</v>
      </c>
    </row>
    <row r="14">
      <c r="A14">
        <f>HYPERLINK("https://www.tradingview.com/chart/?symbol=NSE:HONASA","HONASA")</f>
        <v/>
      </c>
      <c r="B14" t="n">
        <v>2289107</v>
      </c>
      <c r="C14" t="n">
        <v>613542.551724138</v>
      </c>
      <c r="D14" t="n">
        <v>3.73</v>
      </c>
    </row>
    <row r="15">
      <c r="A15">
        <f>HYPERLINK("https://www.tradingview.com/chart/?symbol=NSE:MINDACORP","MINDACORP")</f>
        <v/>
      </c>
      <c r="B15" t="n">
        <v>817897</v>
      </c>
      <c r="C15" t="n">
        <v>224778.4482758621</v>
      </c>
      <c r="D15" t="n">
        <v>3.64</v>
      </c>
    </row>
    <row r="16">
      <c r="A16">
        <f>HYPERLINK("https://www.tradingview.com/chart/?symbol=NSE:IFCI","IFCI")</f>
        <v/>
      </c>
      <c r="B16" t="n">
        <v>22691017</v>
      </c>
      <c r="C16" t="n">
        <v>6763819.068965517</v>
      </c>
      <c r="D16" t="n">
        <v>3.35</v>
      </c>
    </row>
    <row r="17">
      <c r="A17">
        <f>HYPERLINK("https://www.tradingview.com/chart/?symbol=NSE:USHAMART","USHAMART")</f>
        <v/>
      </c>
      <c r="B17" t="n">
        <v>1451118</v>
      </c>
      <c r="C17" t="n">
        <v>444871.0344827586</v>
      </c>
      <c r="D17" t="n">
        <v>3.26</v>
      </c>
    </row>
    <row r="18">
      <c r="A18">
        <f>HYPERLINK("https://www.tradingview.com/chart/?symbol=NSE:FINCABLES","FINCABLES")</f>
        <v/>
      </c>
      <c r="B18" t="n">
        <v>892125</v>
      </c>
      <c r="C18" t="n">
        <v>280154.4827586207</v>
      </c>
      <c r="D18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2026-05-29T20:59:30Z</dcterms:created>
  <dcterms:modified xsi:type="dcterms:W3CDTF">2026-05-29T20:59:30Z</dcterms:modified>
</cp:coreProperties>
</file>