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HYPERLINK("https://www.tradingview.com/chart/?symbol=NSE:KARURVYSYA","KARURVYSYA")</f>
        <v/>
      </c>
      <c r="B2" t="n">
        <v>340.3</v>
      </c>
      <c r="C2" t="n">
        <v>83899658</v>
      </c>
      <c r="D2" t="n">
        <v>11261206</v>
      </c>
      <c r="E2" t="n">
        <v>13.42</v>
      </c>
      <c r="F2" t="n">
        <v>1607252.8</v>
      </c>
      <c r="G2" t="n">
        <v>7.01</v>
      </c>
      <c r="H2" t="n">
        <v>2855.11</v>
      </c>
      <c r="I2" t="n">
        <v>383.22</v>
      </c>
    </row>
    <row r="3">
      <c r="A3">
        <f>HYPERLINK("https://www.tradingview.com/chart/?symbol=NSE:BLUESTONE","BLUESTONE")</f>
        <v/>
      </c>
      <c r="B3" t="n">
        <v>728.65</v>
      </c>
      <c r="C3" t="n">
        <v>23104761</v>
      </c>
      <c r="D3" t="n">
        <v>2183521</v>
      </c>
      <c r="E3" t="n">
        <v>9.449999999999999</v>
      </c>
      <c r="F3" t="n">
        <v>229548.9333333333</v>
      </c>
      <c r="G3" t="n">
        <v>9.51</v>
      </c>
      <c r="H3" t="n">
        <v>1683.53</v>
      </c>
      <c r="I3" t="n">
        <v>159.1</v>
      </c>
    </row>
    <row r="4">
      <c r="A4">
        <f>HYPERLINK("https://www.tradingview.com/chart/?symbol=NSE:ACE","ACE")</f>
        <v/>
      </c>
      <c r="B4" t="n">
        <v>1035.5</v>
      </c>
      <c r="C4" t="n">
        <v>5917072</v>
      </c>
      <c r="D4" t="n">
        <v>945546</v>
      </c>
      <c r="E4" t="n">
        <v>15.98</v>
      </c>
      <c r="F4" t="n">
        <v>185196.3333333333</v>
      </c>
      <c r="G4" t="n">
        <v>5.11</v>
      </c>
      <c r="H4" t="n">
        <v>612.71</v>
      </c>
      <c r="I4" t="n">
        <v>97.91</v>
      </c>
    </row>
    <row r="5">
      <c r="A5">
        <f>HYPERLINK("https://www.tradingview.com/chart/?symbol=NSE:RALLIS","RALLIS")</f>
        <v/>
      </c>
      <c r="B5" t="n">
        <v>228.62</v>
      </c>
      <c r="C5" t="n">
        <v>10550780</v>
      </c>
      <c r="D5" t="n">
        <v>3878392</v>
      </c>
      <c r="E5" t="n">
        <v>36.76</v>
      </c>
      <c r="F5" t="n">
        <v>394697.7666666667</v>
      </c>
      <c r="G5" t="n">
        <v>9.83</v>
      </c>
      <c r="H5" t="n">
        <v>241.21</v>
      </c>
      <c r="I5" t="n">
        <v>88.67</v>
      </c>
    </row>
    <row r="6">
      <c r="A6">
        <f>HYPERLINK("https://www.tradingview.com/chart/?symbol=NSE:SOBHA","SOBHA")</f>
        <v/>
      </c>
      <c r="B6" t="n">
        <v>1456.3</v>
      </c>
      <c r="C6" t="n">
        <v>2603668</v>
      </c>
      <c r="D6" t="n">
        <v>579536</v>
      </c>
      <c r="E6" t="n">
        <v>22.26</v>
      </c>
      <c r="F6" t="n">
        <v>65823.86666666667</v>
      </c>
      <c r="G6" t="n">
        <v>8.800000000000001</v>
      </c>
      <c r="H6" t="n">
        <v>379.17</v>
      </c>
      <c r="I6" t="n">
        <v>84.40000000000001</v>
      </c>
    </row>
    <row r="7">
      <c r="A7">
        <f>HYPERLINK("https://www.tradingview.com/chart/?symbol=NSE:BEPL","BEPL")</f>
        <v/>
      </c>
      <c r="B7" t="n">
        <v>123.44</v>
      </c>
      <c r="C7" t="n">
        <v>69963117</v>
      </c>
      <c r="D7" t="n">
        <v>5484801</v>
      </c>
      <c r="E7" t="n">
        <v>7.84</v>
      </c>
      <c r="F7" t="n">
        <v>750248.9</v>
      </c>
      <c r="G7" t="n">
        <v>7.31</v>
      </c>
      <c r="H7" t="n">
        <v>863.62</v>
      </c>
      <c r="I7" t="n">
        <v>67.7</v>
      </c>
    </row>
    <row r="8">
      <c r="A8">
        <f>HYPERLINK("https://www.tradingview.com/chart/?symbol=NSE:STYRENIX","STYRENIX")</f>
        <v/>
      </c>
      <c r="B8" t="n">
        <v>2452.9</v>
      </c>
      <c r="C8" t="n">
        <v>382976</v>
      </c>
      <c r="D8" t="n">
        <v>225680</v>
      </c>
      <c r="E8" t="n">
        <v>58.93</v>
      </c>
      <c r="F8" t="n">
        <v>16842.53333333333</v>
      </c>
      <c r="G8" t="n">
        <v>13.4</v>
      </c>
      <c r="H8" t="n">
        <v>93.94</v>
      </c>
      <c r="I8" t="n">
        <v>55.36</v>
      </c>
    </row>
    <row r="9">
      <c r="A9">
        <f>HYPERLINK("https://www.tradingview.com/chart/?symbol=NSE:ATLANTAELE","ATLANTAELE")</f>
        <v/>
      </c>
      <c r="B9" t="n">
        <v>1654.9</v>
      </c>
      <c r="C9" t="n">
        <v>655613</v>
      </c>
      <c r="D9" t="n">
        <v>306086</v>
      </c>
      <c r="E9" t="n">
        <v>46.69</v>
      </c>
      <c r="F9" t="n">
        <v>49430.04761904762</v>
      </c>
      <c r="G9" t="n">
        <v>6.19</v>
      </c>
      <c r="H9" t="n">
        <v>108.5</v>
      </c>
      <c r="I9" t="n">
        <v>50.65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2026-07-21T20:03:52Z</dcterms:created>
  <dcterms:modified xsi:type="dcterms:W3CDTF">2026-07-21T20:03:52Z</dcterms:modified>
</cp:coreProperties>
</file>