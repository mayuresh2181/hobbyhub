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HYPERLINK("https://www.tradingview.com/chart/?symbol=NSE:VMM", "VMM")</f>
        <v/>
      </c>
      <c r="B2" t="n">
        <v>675298112</v>
      </c>
      <c r="C2" t="n">
        <v>27196407.43333333</v>
      </c>
      <c r="D2" t="n">
        <v>24.83</v>
      </c>
    </row>
    <row r="3">
      <c r="A3">
        <f>HYPERLINK("https://www.tradingview.com/chart/?symbol=NSE:IRCTC", "IRCTC")</f>
        <v/>
      </c>
      <c r="B3" t="n">
        <v>22525097</v>
      </c>
      <c r="C3" t="n">
        <v>1618766.466666667</v>
      </c>
      <c r="D3" t="n">
        <v>13.91</v>
      </c>
    </row>
    <row r="4">
      <c r="A4">
        <f>HYPERLINK("https://www.tradingview.com/chart/?symbol=NSE:LTF", "LTF")</f>
        <v/>
      </c>
      <c r="B4" t="n">
        <v>54682214</v>
      </c>
      <c r="C4" t="n">
        <v>4027028.666666667</v>
      </c>
      <c r="D4" t="n">
        <v>13.58</v>
      </c>
    </row>
    <row r="5">
      <c r="A5">
        <f>HYPERLINK("https://www.tradingview.com/chart/?symbol=NSE:ABCAPITAL", "ABCAPITAL")</f>
        <v/>
      </c>
      <c r="B5" t="n">
        <v>70504037</v>
      </c>
      <c r="C5" t="n">
        <v>5447579.766666667</v>
      </c>
      <c r="D5" t="n">
        <v>12.94</v>
      </c>
    </row>
    <row r="6">
      <c r="A6">
        <f>HYPERLINK("https://www.tradingview.com/chart/?symbol=NSE:FINCABLES", "FINCABLES")</f>
        <v/>
      </c>
      <c r="B6" t="n">
        <v>1430493</v>
      </c>
      <c r="C6" t="n">
        <v>164601.7666666667</v>
      </c>
      <c r="D6" t="n">
        <v>8.69</v>
      </c>
    </row>
    <row r="7">
      <c r="A7">
        <f>HYPERLINK("https://www.tradingview.com/chart/?symbol=NSE:ANGELONE", "ANGELONE")</f>
        <v/>
      </c>
      <c r="B7" t="n">
        <v>3429129</v>
      </c>
      <c r="C7" t="n">
        <v>404527.4</v>
      </c>
      <c r="D7" t="n">
        <v>8.48</v>
      </c>
    </row>
    <row r="8">
      <c r="A8">
        <f>HYPERLINK("https://www.tradingview.com/chart/?symbol=NSE:AUBANK", "AUBANK")</f>
        <v/>
      </c>
      <c r="B8" t="n">
        <v>15558649</v>
      </c>
      <c r="C8" t="n">
        <v>1861538.966666667</v>
      </c>
      <c r="D8" t="n">
        <v>8.359999999999999</v>
      </c>
    </row>
    <row r="9">
      <c r="A9">
        <f>HYPERLINK("https://www.tradingview.com/chart/?symbol=NSE:AKZOINDIA", "AKZOINDIA")</f>
        <v/>
      </c>
      <c r="B9" t="n">
        <v>174225</v>
      </c>
      <c r="C9" t="n">
        <v>22862.3</v>
      </c>
      <c r="D9" t="n">
        <v>7.62</v>
      </c>
    </row>
    <row r="10">
      <c r="A10">
        <f>HYPERLINK("https://www.tradingview.com/chart/?symbol=NSE:REDINGTON", "REDINGTON")</f>
        <v/>
      </c>
      <c r="B10" t="n">
        <v>5781173</v>
      </c>
      <c r="C10" t="n">
        <v>775712.5666666667</v>
      </c>
      <c r="D10" t="n">
        <v>7.45</v>
      </c>
    </row>
    <row r="11">
      <c r="A11">
        <f>HYPERLINK("https://www.tradingview.com/chart/?symbol=NSE:TEJASNET", "TEJASNET")</f>
        <v/>
      </c>
      <c r="B11" t="n">
        <v>5932206</v>
      </c>
      <c r="C11" t="n">
        <v>806131.8666666667</v>
      </c>
      <c r="D11" t="n">
        <v>7.36</v>
      </c>
    </row>
    <row r="12">
      <c r="A12">
        <f>HYPERLINK("https://www.tradingview.com/chart/?symbol=NSE:EMCURE", "EMCURE")</f>
        <v/>
      </c>
      <c r="B12" t="n">
        <v>598523</v>
      </c>
      <c r="C12" t="n">
        <v>83010.8</v>
      </c>
      <c r="D12" t="n">
        <v>7.21</v>
      </c>
    </row>
    <row r="13">
      <c r="A13">
        <f>HYPERLINK("https://www.tradingview.com/chart/?symbol=NSE:SARDAEN", "SARDAEN")</f>
        <v/>
      </c>
      <c r="B13" t="n">
        <v>1356241</v>
      </c>
      <c r="C13" t="n">
        <v>203955.4</v>
      </c>
      <c r="D13" t="n">
        <v>6.65</v>
      </c>
    </row>
    <row r="14">
      <c r="A14">
        <f>HYPERLINK("https://www.tradingview.com/chart/?symbol=NSE:JUBLFOOD", "JUBLFOOD")</f>
        <v/>
      </c>
      <c r="B14" t="n">
        <v>6390485</v>
      </c>
      <c r="C14" t="n">
        <v>1131643.566666667</v>
      </c>
      <c r="D14" t="n">
        <v>5.65</v>
      </c>
    </row>
    <row r="15">
      <c r="A15">
        <f>HYPERLINK("https://www.tradingview.com/chart/?symbol=NSE:PREMIERENE", "PREMIERENE")</f>
        <v/>
      </c>
      <c r="B15" t="n">
        <v>3260296</v>
      </c>
      <c r="C15" t="n">
        <v>696728.0333333333</v>
      </c>
      <c r="D15" t="n">
        <v>4.68</v>
      </c>
    </row>
    <row r="16">
      <c r="A16">
        <f>HYPERLINK("https://www.tradingview.com/chart/?symbol=NSE:RRKABEL", "RRKABEL")</f>
        <v/>
      </c>
      <c r="B16" t="n">
        <v>444748</v>
      </c>
      <c r="C16" t="n">
        <v>98591.96666666666</v>
      </c>
      <c r="D16" t="n">
        <v>4.51</v>
      </c>
    </row>
    <row r="17">
      <c r="A17">
        <f>HYPERLINK("https://www.tradingview.com/chart/?symbol=NSE:SOBHA", "SOBHA")</f>
        <v/>
      </c>
      <c r="B17" t="n">
        <v>263577</v>
      </c>
      <c r="C17" t="n">
        <v>58822.46666666667</v>
      </c>
      <c r="D17" t="n">
        <v>4.48</v>
      </c>
    </row>
    <row r="18">
      <c r="A18">
        <f>HYPERLINK("https://www.tradingview.com/chart/?symbol=NSE:ASAHIINDIA", "ASAHIINDIA")</f>
        <v/>
      </c>
      <c r="B18" t="n">
        <v>134452</v>
      </c>
      <c r="C18" t="n">
        <v>31644.6</v>
      </c>
      <c r="D18" t="n">
        <v>4.25</v>
      </c>
    </row>
    <row r="19">
      <c r="A19">
        <f>HYPERLINK("https://www.tradingview.com/chart/?symbol=NSE:SAILIFE", "SAILIFE")</f>
        <v/>
      </c>
      <c r="B19" t="n">
        <v>1493390</v>
      </c>
      <c r="C19" t="n">
        <v>352723.8</v>
      </c>
      <c r="D19" t="n">
        <v>4.23</v>
      </c>
    </row>
    <row r="20">
      <c r="A20">
        <f>HYPERLINK("https://www.tradingview.com/chart/?symbol=NSE:AGARWALEYE", "AGARWALEYE")</f>
        <v/>
      </c>
      <c r="B20" t="n">
        <v>229566</v>
      </c>
      <c r="C20" t="n">
        <v>55278.03333333333</v>
      </c>
      <c r="D20" t="n">
        <v>4.15</v>
      </c>
    </row>
    <row r="21">
      <c r="A21">
        <f>HYPERLINK("https://www.tradingview.com/chart/?symbol=NSE:TIMKEN", "TIMKEN")</f>
        <v/>
      </c>
      <c r="B21" t="n">
        <v>109203</v>
      </c>
      <c r="C21" t="n">
        <v>26616.26666666667</v>
      </c>
      <c r="D21" t="n">
        <v>4.1</v>
      </c>
    </row>
    <row r="22">
      <c r="A22">
        <f>HYPERLINK("https://www.tradingview.com/chart/?symbol=NSE:PAGEIND", "PAGEIND")</f>
        <v/>
      </c>
      <c r="B22" t="n">
        <v>52094</v>
      </c>
      <c r="C22" t="n">
        <v>13046.53333333333</v>
      </c>
      <c r="D22" t="n">
        <v>3.99</v>
      </c>
    </row>
    <row r="23">
      <c r="A23">
        <f>HYPERLINK("https://www.tradingview.com/chart/?symbol=NSE:KSB", "KSB")</f>
        <v/>
      </c>
      <c r="B23" t="n">
        <v>270116</v>
      </c>
      <c r="C23" t="n">
        <v>69639.76666666666</v>
      </c>
      <c r="D23" t="n">
        <v>3.88</v>
      </c>
    </row>
    <row r="24">
      <c r="A24">
        <f>HYPERLINK("https://www.tradingview.com/chart/?symbol=NSE:J&amp;KBANK", "J&amp;KBANK")</f>
        <v/>
      </c>
      <c r="B24" t="n">
        <v>8339276</v>
      </c>
      <c r="C24" t="n">
        <v>2199174.366666667</v>
      </c>
      <c r="D24" t="n">
        <v>3.79</v>
      </c>
    </row>
    <row r="25">
      <c r="A25">
        <f>HYPERLINK("https://www.tradingview.com/chart/?symbol=NSE:AIIL", "AIIL")</f>
        <v/>
      </c>
      <c r="B25" t="n">
        <v>779439</v>
      </c>
      <c r="C25" t="n">
        <v>213307.4333333333</v>
      </c>
      <c r="D25" t="n">
        <v>3.65</v>
      </c>
    </row>
    <row r="26">
      <c r="A26">
        <f>HYPERLINK("https://www.tradingview.com/chart/?symbol=NSE:SBICARD", "SBICARD")</f>
        <v/>
      </c>
      <c r="B26" t="n">
        <v>2831948</v>
      </c>
      <c r="C26" t="n">
        <v>786471.4666666667</v>
      </c>
      <c r="D26" t="n">
        <v>3.6</v>
      </c>
    </row>
    <row r="27">
      <c r="A27">
        <f>HYPERLINK("https://www.tradingview.com/chart/?symbol=NSE:CGCL", "CGCL")</f>
        <v/>
      </c>
      <c r="B27" t="n">
        <v>1775545</v>
      </c>
      <c r="C27" t="n">
        <v>516605.7</v>
      </c>
      <c r="D27" t="n">
        <v>3.44</v>
      </c>
    </row>
    <row r="28">
      <c r="A28">
        <f>HYPERLINK("https://www.tradingview.com/chart/?symbol=NSE:PETRONET", "PETRONET")</f>
        <v/>
      </c>
      <c r="B28" t="n">
        <v>5133968</v>
      </c>
      <c r="C28" t="n">
        <v>1517613.866666667</v>
      </c>
      <c r="D28" t="n">
        <v>3.38</v>
      </c>
    </row>
    <row r="29">
      <c r="A29">
        <f>HYPERLINK("https://www.tradingview.com/chart/?symbol=NSE:KAJARIACER", "KAJARIACER")</f>
        <v/>
      </c>
      <c r="B29" t="n">
        <v>488792</v>
      </c>
      <c r="C29" t="n">
        <v>144888.3666666667</v>
      </c>
      <c r="D29" t="n">
        <v>3.37</v>
      </c>
    </row>
    <row r="30">
      <c r="A30">
        <f>HYPERLINK("https://www.tradingview.com/chart/?symbol=NSE:AFCONS", "AFCONS")</f>
        <v/>
      </c>
      <c r="B30" t="n">
        <v>784444</v>
      </c>
      <c r="C30" t="n">
        <v>234167.3333333333</v>
      </c>
      <c r="D30" t="n">
        <v>3.35</v>
      </c>
    </row>
    <row r="31">
      <c r="A31">
        <f>HYPERLINK("https://www.tradingview.com/chart/?symbol=NSE:DALBHARAT", "DALBHARAT")</f>
        <v/>
      </c>
      <c r="B31" t="n">
        <v>551605</v>
      </c>
      <c r="C31" t="n">
        <v>167313.1666666667</v>
      </c>
      <c r="D31" t="n">
        <v>3.3</v>
      </c>
    </row>
    <row r="32">
      <c r="A32">
        <f>HYPERLINK("https://www.tradingview.com/chart/?symbol=NSE:JSWCEMENT", "JSWCEMENT")</f>
        <v/>
      </c>
      <c r="B32" t="n">
        <v>5592158</v>
      </c>
      <c r="C32" t="n">
        <v>1714183.566666667</v>
      </c>
      <c r="D32" t="n">
        <v>3.26</v>
      </c>
    </row>
    <row r="33">
      <c r="A33">
        <f>HYPERLINK("https://www.tradingview.com/chart/?symbol=NSE:MANYAVAR", "MANYAVAR")</f>
        <v/>
      </c>
      <c r="B33" t="n">
        <v>340885</v>
      </c>
      <c r="C33" t="n">
        <v>104861.8666666667</v>
      </c>
      <c r="D33" t="n">
        <v>3.25</v>
      </c>
    </row>
    <row r="34">
      <c r="A34">
        <f>HYPERLINK("https://www.tradingview.com/chart/?symbol=NSE:HCLTECH", "HCLTECH")</f>
        <v/>
      </c>
      <c r="B34" t="n">
        <v>6447547</v>
      </c>
      <c r="C34" t="n">
        <v>2045044.466666667</v>
      </c>
      <c r="D34" t="n">
        <v>3.15</v>
      </c>
    </row>
    <row r="35">
      <c r="A35">
        <f>HYPERLINK("https://www.tradingview.com/chart/?symbol=NSE:TBOTEK", "TBOTEK")</f>
        <v/>
      </c>
      <c r="B35" t="n">
        <v>201021</v>
      </c>
      <c r="C35" t="n">
        <v>63885.63333333333</v>
      </c>
      <c r="D35" t="n">
        <v>3.15</v>
      </c>
    </row>
    <row r="36">
      <c r="A36">
        <f>HYPERLINK("https://www.tradingview.com/chart/?symbol=NSE:COROMANDEL", "COROMANDEL")</f>
        <v/>
      </c>
      <c r="B36" t="n">
        <v>497875</v>
      </c>
      <c r="C36" t="n">
        <v>159523.0666666667</v>
      </c>
      <c r="D36" t="n">
        <v>3.12</v>
      </c>
    </row>
    <row r="37">
      <c r="A37">
        <f>HYPERLINK("https://www.tradingview.com/chart/?symbol=NSE:BERGEPAINT", "BERGEPAINT")</f>
        <v/>
      </c>
      <c r="B37" t="n">
        <v>916330</v>
      </c>
      <c r="C37" t="n">
        <v>302631.6</v>
      </c>
      <c r="D37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2026-03-01T19:35:06Z</dcterms:created>
  <dcterms:modified xsi:type="dcterms:W3CDTF">2026-03-01T19:35:06Z</dcterms:modified>
</cp:coreProperties>
</file>