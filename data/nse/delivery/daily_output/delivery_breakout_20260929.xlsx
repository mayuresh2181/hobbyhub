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HYPERLINK("https://www.tradingview.com/chart/?symbol=NSE:BSE","BSE")</f>
        <v/>
      </c>
      <c r="B2" t="n">
        <v>3200</v>
      </c>
      <c r="C2" t="n">
        <v>30101047</v>
      </c>
      <c r="D2" t="n">
        <v>22637963</v>
      </c>
      <c r="E2" t="n">
        <v>75.20999999999999</v>
      </c>
      <c r="F2" t="n">
        <v>1792469.966666667</v>
      </c>
      <c r="G2" t="n">
        <v>12.63</v>
      </c>
      <c r="H2" t="n">
        <v>9632.34</v>
      </c>
      <c r="I2" t="n">
        <v>7244.15</v>
      </c>
    </row>
    <row r="3">
      <c r="A3">
        <f>HYPERLINK("https://www.tradingview.com/chart/?symbol=NSE:WIPRO","WIPRO")</f>
        <v/>
      </c>
      <c r="B3" t="n">
        <v>156.79</v>
      </c>
      <c r="C3" t="n">
        <v>164453787</v>
      </c>
      <c r="D3" t="n">
        <v>144035654</v>
      </c>
      <c r="E3" t="n">
        <v>87.58</v>
      </c>
      <c r="F3" t="n">
        <v>4558304.733333333</v>
      </c>
      <c r="G3" t="n">
        <v>31.6</v>
      </c>
      <c r="H3" t="n">
        <v>2578.47</v>
      </c>
      <c r="I3" t="n">
        <v>2258.34</v>
      </c>
    </row>
    <row r="4">
      <c r="A4">
        <f>HYPERLINK("https://www.tradingview.com/chart/?symbol=NSE:VAML","VAML")</f>
        <v/>
      </c>
      <c r="B4" t="n">
        <v>434.45</v>
      </c>
      <c r="C4" t="n">
        <v>56303173</v>
      </c>
      <c r="D4" t="n">
        <v>38919983</v>
      </c>
      <c r="E4" t="n">
        <v>69.13</v>
      </c>
      <c r="F4" t="n">
        <v>4404572.6</v>
      </c>
      <c r="G4" t="n">
        <v>8.84</v>
      </c>
      <c r="H4" t="n">
        <v>2446.09</v>
      </c>
      <c r="I4" t="n">
        <v>1690.88</v>
      </c>
    </row>
    <row r="5">
      <c r="A5">
        <f>HYPERLINK("https://www.tradingview.com/chart/?symbol=NSE:INDHOTEL","INDHOTEL")</f>
        <v/>
      </c>
      <c r="B5" t="n">
        <v>714.35</v>
      </c>
      <c r="C5" t="n">
        <v>26142773</v>
      </c>
      <c r="D5" t="n">
        <v>20196083</v>
      </c>
      <c r="E5" t="n">
        <v>77.25</v>
      </c>
      <c r="F5" t="n">
        <v>966428.9</v>
      </c>
      <c r="G5" t="n">
        <v>20.9</v>
      </c>
      <c r="H5" t="n">
        <v>1867.51</v>
      </c>
      <c r="I5" t="n">
        <v>1442.71</v>
      </c>
    </row>
    <row r="6">
      <c r="A6">
        <f>HYPERLINK("https://www.tradingview.com/chart/?symbol=NSE:POLICYBZR","POLICYBZR")</f>
        <v/>
      </c>
      <c r="B6" t="n">
        <v>1081</v>
      </c>
      <c r="C6" t="n">
        <v>19346053</v>
      </c>
      <c r="D6" t="n">
        <v>10698664</v>
      </c>
      <c r="E6" t="n">
        <v>55.3</v>
      </c>
      <c r="F6" t="n">
        <v>1743908.9</v>
      </c>
      <c r="G6" t="n">
        <v>6.13</v>
      </c>
      <c r="H6" t="n">
        <v>2091.31</v>
      </c>
      <c r="I6" t="n">
        <v>1156.53</v>
      </c>
    </row>
    <row r="7">
      <c r="A7">
        <f>HYPERLINK("https://www.tradingview.com/chart/?symbol=NSE:POLYCAB","POLYCAB")</f>
        <v/>
      </c>
      <c r="B7" t="n">
        <v>8102.5</v>
      </c>
      <c r="C7" t="n">
        <v>1645809</v>
      </c>
      <c r="D7" t="n">
        <v>1195469</v>
      </c>
      <c r="E7" t="n">
        <v>72.64</v>
      </c>
      <c r="F7" t="n">
        <v>185087.6333333333</v>
      </c>
      <c r="G7" t="n">
        <v>6.46</v>
      </c>
      <c r="H7" t="n">
        <v>1333.52</v>
      </c>
      <c r="I7" t="n">
        <v>968.63</v>
      </c>
    </row>
    <row r="8">
      <c r="A8">
        <f>HYPERLINK("https://www.tradingview.com/chart/?symbol=NSE:UNITDSPR","UNITDSPR")</f>
        <v/>
      </c>
      <c r="B8" t="n">
        <v>1363</v>
      </c>
      <c r="C8" t="n">
        <v>8761343</v>
      </c>
      <c r="D8" t="n">
        <v>6943269</v>
      </c>
      <c r="E8" t="n">
        <v>79.25</v>
      </c>
      <c r="F8" t="n">
        <v>335215.2666666667</v>
      </c>
      <c r="G8" t="n">
        <v>20.71</v>
      </c>
      <c r="H8" t="n">
        <v>1194.17</v>
      </c>
      <c r="I8" t="n">
        <v>946.37</v>
      </c>
    </row>
    <row r="9">
      <c r="A9">
        <f>HYPERLINK("https://www.tradingview.com/chart/?symbol=NSE:RECLTD","RECLTD")</f>
        <v/>
      </c>
      <c r="B9" t="n">
        <v>292.45</v>
      </c>
      <c r="C9" t="n">
        <v>39781303</v>
      </c>
      <c r="D9" t="n">
        <v>30069786</v>
      </c>
      <c r="E9" t="n">
        <v>75.59</v>
      </c>
      <c r="F9" t="n">
        <v>2690326.133333333</v>
      </c>
      <c r="G9" t="n">
        <v>11.18</v>
      </c>
      <c r="H9" t="n">
        <v>1163.4</v>
      </c>
      <c r="I9" t="n">
        <v>879.39</v>
      </c>
    </row>
    <row r="10">
      <c r="A10">
        <f>HYPERLINK("https://www.tradingview.com/chart/?symbol=NSE:POWERINDIA","POWERINDIA")</f>
        <v/>
      </c>
      <c r="B10" t="n">
        <v>30735</v>
      </c>
      <c r="C10" t="n">
        <v>387016</v>
      </c>
      <c r="D10" t="n">
        <v>270442</v>
      </c>
      <c r="E10" t="n">
        <v>69.88</v>
      </c>
      <c r="F10" t="n">
        <v>33561.53333333333</v>
      </c>
      <c r="G10" t="n">
        <v>8.06</v>
      </c>
      <c r="H10" t="n">
        <v>1189.49</v>
      </c>
      <c r="I10" t="n">
        <v>831.2</v>
      </c>
    </row>
    <row r="11">
      <c r="A11">
        <f>HYPERLINK("https://www.tradingview.com/chart/?symbol=NSE:SHREECEM","SHREECEM")</f>
        <v/>
      </c>
      <c r="B11" t="n">
        <v>21900</v>
      </c>
      <c r="C11" t="n">
        <v>450209</v>
      </c>
      <c r="D11" t="n">
        <v>333143</v>
      </c>
      <c r="E11" t="n">
        <v>74</v>
      </c>
      <c r="F11" t="n">
        <v>13174.66666666667</v>
      </c>
      <c r="G11" t="n">
        <v>25.29</v>
      </c>
      <c r="H11" t="n">
        <v>985.96</v>
      </c>
      <c r="I11" t="n">
        <v>729.58</v>
      </c>
    </row>
    <row r="12">
      <c r="A12">
        <f>HYPERLINK("https://www.tradingview.com/chart/?symbol=NSE:LODHA","LODHA")</f>
        <v/>
      </c>
      <c r="B12" t="n">
        <v>1106.6</v>
      </c>
      <c r="C12" t="n">
        <v>7960815</v>
      </c>
      <c r="D12" t="n">
        <v>6249247</v>
      </c>
      <c r="E12" t="n">
        <v>78.5</v>
      </c>
      <c r="F12" t="n">
        <v>767373.6666666666</v>
      </c>
      <c r="G12" t="n">
        <v>8.140000000000001</v>
      </c>
      <c r="H12" t="n">
        <v>880.9400000000001</v>
      </c>
      <c r="I12" t="n">
        <v>691.54</v>
      </c>
    </row>
    <row r="13">
      <c r="A13">
        <f>HYPERLINK("https://www.tradingview.com/chart/?symbol=NSE:HONASA","HONASA")</f>
        <v/>
      </c>
      <c r="B13" t="n">
        <v>441.65</v>
      </c>
      <c r="C13" t="n">
        <v>20795107</v>
      </c>
      <c r="D13" t="n">
        <v>13906743</v>
      </c>
      <c r="E13" t="n">
        <v>66.88</v>
      </c>
      <c r="F13" t="n">
        <v>378662.9</v>
      </c>
      <c r="G13" t="n">
        <v>36.73</v>
      </c>
      <c r="H13" t="n">
        <v>918.42</v>
      </c>
      <c r="I13" t="n">
        <v>614.1900000000001</v>
      </c>
    </row>
    <row r="14">
      <c r="A14">
        <f>HYPERLINK("https://www.tradingview.com/chart/?symbol=NSE:TDPOWERSYS","TDPOWERSYS")</f>
        <v/>
      </c>
      <c r="B14" t="n">
        <v>777.35</v>
      </c>
      <c r="C14" t="n">
        <v>7602887</v>
      </c>
      <c r="D14" t="n">
        <v>4852170</v>
      </c>
      <c r="E14" t="n">
        <v>63.82</v>
      </c>
      <c r="F14" t="n">
        <v>887098.2666666667</v>
      </c>
      <c r="G14" t="n">
        <v>5.47</v>
      </c>
      <c r="H14" t="n">
        <v>591.01</v>
      </c>
      <c r="I14" t="n">
        <v>377.18</v>
      </c>
    </row>
    <row r="15">
      <c r="A15">
        <f>HYPERLINK("https://www.tradingview.com/chart/?symbol=NSE:KAJARIACER","KAJARIACER")</f>
        <v/>
      </c>
      <c r="B15" t="n">
        <v>1190.5</v>
      </c>
      <c r="C15" t="n">
        <v>2954458</v>
      </c>
      <c r="D15" t="n">
        <v>2718056</v>
      </c>
      <c r="E15" t="n">
        <v>92</v>
      </c>
      <c r="F15" t="n">
        <v>91596.93333333333</v>
      </c>
      <c r="G15" t="n">
        <v>29.67</v>
      </c>
      <c r="H15" t="n">
        <v>351.73</v>
      </c>
      <c r="I15" t="n">
        <v>323.58</v>
      </c>
    </row>
    <row r="16">
      <c r="A16">
        <f>HYPERLINK("https://www.tradingview.com/chart/?symbol=NSE:KIRLOSENG","KIRLOSENG")</f>
        <v/>
      </c>
      <c r="B16" t="n">
        <v>2402</v>
      </c>
      <c r="C16" t="n">
        <v>5298949</v>
      </c>
      <c r="D16" t="n">
        <v>1268836</v>
      </c>
      <c r="E16" t="n">
        <v>23.95</v>
      </c>
      <c r="F16" t="n">
        <v>220623.2</v>
      </c>
      <c r="G16" t="n">
        <v>5.75</v>
      </c>
      <c r="H16" t="n">
        <v>1272.81</v>
      </c>
      <c r="I16" t="n">
        <v>304.77</v>
      </c>
    </row>
    <row r="17">
      <c r="A17">
        <f>HYPERLINK("https://www.tradingview.com/chart/?symbol=NSE:AZAD","AZAD")</f>
        <v/>
      </c>
      <c r="B17" t="n">
        <v>2914.2</v>
      </c>
      <c r="C17" t="n">
        <v>5323693</v>
      </c>
      <c r="D17" t="n">
        <v>1036499</v>
      </c>
      <c r="E17" t="n">
        <v>19.47</v>
      </c>
      <c r="F17" t="n">
        <v>152546.9666666667</v>
      </c>
      <c r="G17" t="n">
        <v>6.79</v>
      </c>
      <c r="H17" t="n">
        <v>1551.43</v>
      </c>
      <c r="I17" t="n">
        <v>302.06</v>
      </c>
    </row>
    <row r="18">
      <c r="A18">
        <f>HYPERLINK("https://www.tradingview.com/chart/?symbol=NSE:SANSERA","SANSERA")</f>
        <v/>
      </c>
      <c r="B18" t="n">
        <v>4362.2</v>
      </c>
      <c r="C18" t="n">
        <v>1016129</v>
      </c>
      <c r="D18" t="n">
        <v>536070</v>
      </c>
      <c r="E18" t="n">
        <v>52.76</v>
      </c>
      <c r="F18" t="n">
        <v>104571.3666666667</v>
      </c>
      <c r="G18" t="n">
        <v>5.13</v>
      </c>
      <c r="H18" t="n">
        <v>443.26</v>
      </c>
      <c r="I18" t="n">
        <v>233.84</v>
      </c>
    </row>
    <row r="19">
      <c r="A19">
        <f>HYPERLINK("https://www.tradingview.com/chart/?symbol=NSE:ANANDRATHI","ANANDRATHI")</f>
        <v/>
      </c>
      <c r="B19" t="n">
        <v>2100.6</v>
      </c>
      <c r="C19" t="n">
        <v>1341769</v>
      </c>
      <c r="D19" t="n">
        <v>779128</v>
      </c>
      <c r="E19" t="n">
        <v>58.07</v>
      </c>
      <c r="F19" t="n">
        <v>134843.9333333333</v>
      </c>
      <c r="G19" t="n">
        <v>5.78</v>
      </c>
      <c r="H19" t="n">
        <v>281.85</v>
      </c>
      <c r="I19" t="n">
        <v>163.66</v>
      </c>
    </row>
    <row r="20">
      <c r="A20">
        <f>HYPERLINK("https://www.tradingview.com/chart/?symbol=NSE:APOLLOTYRE","APOLLOTYRE")</f>
        <v/>
      </c>
      <c r="B20" t="n">
        <v>406.75</v>
      </c>
      <c r="C20" t="n">
        <v>5125753</v>
      </c>
      <c r="D20" t="n">
        <v>3019547</v>
      </c>
      <c r="E20" t="n">
        <v>58.91</v>
      </c>
      <c r="F20" t="n">
        <v>396811.2333333333</v>
      </c>
      <c r="G20" t="n">
        <v>7.61</v>
      </c>
      <c r="H20" t="n">
        <v>208.49</v>
      </c>
      <c r="I20" t="n">
        <v>122.82</v>
      </c>
    </row>
    <row r="21">
      <c r="A21">
        <f>HYPERLINK("https://www.tradingview.com/chart/?symbol=NSE:ELLEN","ELLEN")</f>
        <v/>
      </c>
      <c r="B21" t="n">
        <v>369.35</v>
      </c>
      <c r="C21" t="n">
        <v>7447433</v>
      </c>
      <c r="D21" t="n">
        <v>3086585</v>
      </c>
      <c r="E21" t="n">
        <v>41.44</v>
      </c>
      <c r="F21" t="n">
        <v>379511.6</v>
      </c>
      <c r="G21" t="n">
        <v>8.130000000000001</v>
      </c>
      <c r="H21" t="n">
        <v>275.07</v>
      </c>
      <c r="I21" t="n">
        <v>114</v>
      </c>
    </row>
    <row r="22">
      <c r="A22">
        <f>HYPERLINK("https://www.tradingview.com/chart/?symbol=NSE:CENTUM","CENTUM")</f>
        <v/>
      </c>
      <c r="B22" t="n">
        <v>4920.7</v>
      </c>
      <c r="C22" t="n">
        <v>480139</v>
      </c>
      <c r="D22" t="n">
        <v>227985</v>
      </c>
      <c r="E22" t="n">
        <v>47.48</v>
      </c>
      <c r="F22" t="n">
        <v>31226.43333333333</v>
      </c>
      <c r="G22" t="n">
        <v>7.3</v>
      </c>
      <c r="H22" t="n">
        <v>236.26</v>
      </c>
      <c r="I22" t="n">
        <v>112.18</v>
      </c>
    </row>
    <row r="23">
      <c r="A23">
        <f>HYPERLINK("https://www.tradingview.com/chart/?symbol=NSE:RSYSTEMS","RSYSTEMS")</f>
        <v/>
      </c>
      <c r="B23" t="n">
        <v>298.69</v>
      </c>
      <c r="C23" t="n">
        <v>67292815</v>
      </c>
      <c r="D23" t="n">
        <v>3263880</v>
      </c>
      <c r="E23" t="n">
        <v>4.85</v>
      </c>
      <c r="F23" t="n">
        <v>161062.1</v>
      </c>
      <c r="G23" t="n">
        <v>20.26</v>
      </c>
      <c r="H23" t="n">
        <v>2009.97</v>
      </c>
      <c r="I23" t="n">
        <v>97.48999999999999</v>
      </c>
    </row>
    <row r="24">
      <c r="A24">
        <f>HYPERLINK("https://www.tradingview.com/chart/?symbol=NSE:PRIVISCL","PRIVISCL")</f>
        <v/>
      </c>
      <c r="B24" t="n">
        <v>3605.5</v>
      </c>
      <c r="C24" t="n">
        <v>418867</v>
      </c>
      <c r="D24" t="n">
        <v>224334</v>
      </c>
      <c r="E24" t="n">
        <v>53.56</v>
      </c>
      <c r="F24" t="n">
        <v>44496.1</v>
      </c>
      <c r="G24" t="n">
        <v>5.04</v>
      </c>
      <c r="H24" t="n">
        <v>151.02</v>
      </c>
      <c r="I24" t="n">
        <v>80.88</v>
      </c>
    </row>
    <row r="25">
      <c r="A25">
        <f>HYPERLINK("https://www.tradingview.com/chart/?symbol=NSE:KMEW","KMEW")</f>
        <v/>
      </c>
      <c r="B25" t="n">
        <v>3064.8</v>
      </c>
      <c r="C25" t="n">
        <v>644521</v>
      </c>
      <c r="D25" t="n">
        <v>257399</v>
      </c>
      <c r="E25" t="n">
        <v>39.94</v>
      </c>
      <c r="F25" t="n">
        <v>37051.03333333333</v>
      </c>
      <c r="G25" t="n">
        <v>6.95</v>
      </c>
      <c r="H25" t="n">
        <v>197.53</v>
      </c>
      <c r="I25" t="n">
        <v>78.89</v>
      </c>
    </row>
    <row r="26">
      <c r="A26">
        <f>HYPERLINK("https://www.tradingview.com/chart/?symbol=NSE:SYNCOMF","SYNCOMF")</f>
        <v/>
      </c>
      <c r="B26" t="n">
        <v>26.18</v>
      </c>
      <c r="C26" t="n">
        <v>237186557</v>
      </c>
      <c r="D26" t="n">
        <v>23856406</v>
      </c>
      <c r="E26" t="n">
        <v>10.06</v>
      </c>
      <c r="F26" t="n">
        <v>4203282.866666666</v>
      </c>
      <c r="G26" t="n">
        <v>5.68</v>
      </c>
      <c r="H26" t="n">
        <v>620.95</v>
      </c>
      <c r="I26" t="n">
        <v>62.46</v>
      </c>
    </row>
    <row r="27">
      <c r="A27">
        <f>HYPERLINK("https://www.tradingview.com/chart/?symbol=NSE:ERIS","ERIS")</f>
        <v/>
      </c>
      <c r="B27" t="n">
        <v>1219.3</v>
      </c>
      <c r="C27" t="n">
        <v>859869</v>
      </c>
      <c r="D27" t="n">
        <v>504304</v>
      </c>
      <c r="E27" t="n">
        <v>58.65</v>
      </c>
      <c r="F27" t="n">
        <v>34050.53333333333</v>
      </c>
      <c r="G27" t="n">
        <v>14.81</v>
      </c>
      <c r="H27" t="n">
        <v>104.84</v>
      </c>
      <c r="I27" t="n">
        <v>61.49</v>
      </c>
    </row>
    <row r="28">
      <c r="A28">
        <f>HYPERLINK("https://www.tradingview.com/chart/?symbol=NSE:3MINDIA","3MINDIA")</f>
        <v/>
      </c>
      <c r="B28" t="n">
        <v>31890</v>
      </c>
      <c r="C28" t="n">
        <v>29335</v>
      </c>
      <c r="D28" t="n">
        <v>18957</v>
      </c>
      <c r="E28" t="n">
        <v>64.62</v>
      </c>
      <c r="F28" t="n">
        <v>1291.7</v>
      </c>
      <c r="G28" t="n">
        <v>14.68</v>
      </c>
      <c r="H28" t="n">
        <v>93.55</v>
      </c>
      <c r="I28" t="n">
        <v>60.45</v>
      </c>
    </row>
    <row r="29">
      <c r="A29">
        <f>HYPERLINK("https://www.tradingview.com/chart/?symbol=NSE:HONAUT","HONAUT")</f>
        <v/>
      </c>
      <c r="B29" t="n">
        <v>33980</v>
      </c>
      <c r="C29" t="n">
        <v>27480</v>
      </c>
      <c r="D29" t="n">
        <v>16820</v>
      </c>
      <c r="E29" t="n">
        <v>61.21</v>
      </c>
      <c r="F29" t="n">
        <v>1406.3</v>
      </c>
      <c r="G29" t="n">
        <v>11.96</v>
      </c>
      <c r="H29" t="n">
        <v>93.38</v>
      </c>
      <c r="I29" t="n">
        <v>57.15</v>
      </c>
    </row>
    <row r="30">
      <c r="A30">
        <f>HYPERLINK("https://www.tradingview.com/chart/?symbol=NSE:ACC","ACC")</f>
        <v/>
      </c>
      <c r="B30" t="n">
        <v>1202.6</v>
      </c>
      <c r="C30" t="n">
        <v>731645</v>
      </c>
      <c r="D30" t="n">
        <v>460648</v>
      </c>
      <c r="E30" t="n">
        <v>62.96</v>
      </c>
      <c r="F30" t="n">
        <v>63731.2</v>
      </c>
      <c r="G30" t="n">
        <v>7.23</v>
      </c>
      <c r="H30" t="n">
        <v>87.98999999999999</v>
      </c>
      <c r="I30" t="n">
        <v>55.4</v>
      </c>
    </row>
    <row r="31">
      <c r="A31">
        <f>HYPERLINK("https://www.tradingview.com/chart/?symbol=NSE:CHALET","CHALET")</f>
        <v/>
      </c>
      <c r="B31" t="n">
        <v>840.75</v>
      </c>
      <c r="C31" t="n">
        <v>1019411</v>
      </c>
      <c r="D31" t="n">
        <v>647812</v>
      </c>
      <c r="E31" t="n">
        <v>63.55</v>
      </c>
      <c r="F31" t="n">
        <v>82338.36666666667</v>
      </c>
      <c r="G31" t="n">
        <v>7.87</v>
      </c>
      <c r="H31" t="n">
        <v>85.70999999999999</v>
      </c>
      <c r="I31" t="n">
        <v>54.46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2026-09-29T22:33:46Z</dcterms:created>
  <dcterms:modified xsi:type="dcterms:W3CDTF">2026-09-29T22:33:46Z</dcterms:modified>
</cp:coreProperties>
</file>