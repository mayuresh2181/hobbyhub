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HYPERLINK("https://www.tradingview.com/chart/?symbol=NSE:CRAFTSMAN", "CRAFTSMAN")</f>
        <v/>
      </c>
      <c r="B2" t="n">
        <v>220254</v>
      </c>
      <c r="C2" t="n">
        <v>19987.13333333334</v>
      </c>
      <c r="D2" t="n">
        <v>11.02</v>
      </c>
    </row>
    <row r="3">
      <c r="A3">
        <f>HYPERLINK("https://www.tradingview.com/chart/?symbol=NSE:GODREJIND", "GODREJIND")</f>
        <v/>
      </c>
      <c r="B3" t="n">
        <v>582478</v>
      </c>
      <c r="C3" t="n">
        <v>77048.39999999999</v>
      </c>
      <c r="D3" t="n">
        <v>7.56</v>
      </c>
    </row>
    <row r="4">
      <c r="A4">
        <f>HYPERLINK("https://www.tradingview.com/chart/?symbol=NSE:ABLBL", "ABLBL")</f>
        <v/>
      </c>
      <c r="B4" t="n">
        <v>4826706</v>
      </c>
      <c r="C4" t="n">
        <v>739181.1333333333</v>
      </c>
      <c r="D4" t="n">
        <v>6.53</v>
      </c>
    </row>
    <row r="5">
      <c r="A5">
        <f>HYPERLINK("https://www.tradingview.com/chart/?symbol=NSE:TEJASNET", "TEJASNET")</f>
        <v/>
      </c>
      <c r="B5" t="n">
        <v>5511860</v>
      </c>
      <c r="C5" t="n">
        <v>916400.8333333334</v>
      </c>
      <c r="D5" t="n">
        <v>6.01</v>
      </c>
    </row>
    <row r="6">
      <c r="A6">
        <f>HYPERLINK("https://www.tradingview.com/chart/?symbol=NSE:AEGISVOPAK", "AEGISVOPAK")</f>
        <v/>
      </c>
      <c r="B6" t="n">
        <v>2417520</v>
      </c>
      <c r="C6" t="n">
        <v>403344.4</v>
      </c>
      <c r="D6" t="n">
        <v>5.99</v>
      </c>
    </row>
    <row r="7">
      <c r="A7">
        <f>HYPERLINK("https://www.tradingview.com/chart/?symbol=NSE:SUMICHEM", "SUMICHEM")</f>
        <v/>
      </c>
      <c r="B7" t="n">
        <v>805930</v>
      </c>
      <c r="C7" t="n">
        <v>156608.2666666667</v>
      </c>
      <c r="D7" t="n">
        <v>5.15</v>
      </c>
    </row>
    <row r="8">
      <c r="A8">
        <f>HYPERLINK("https://www.tradingview.com/chart/?symbol=NSE:EXIDEIND", "EXIDEIND")</f>
        <v/>
      </c>
      <c r="B8" t="n">
        <v>6727359</v>
      </c>
      <c r="C8" t="n">
        <v>1310088.566666667</v>
      </c>
      <c r="D8" t="n">
        <v>5.14</v>
      </c>
    </row>
    <row r="9">
      <c r="A9">
        <f>HYPERLINK("https://www.tradingview.com/chart/?symbol=NSE:CARTRADE", "CARTRADE")</f>
        <v/>
      </c>
      <c r="B9" t="n">
        <v>1034373</v>
      </c>
      <c r="C9" t="n">
        <v>208402.8333333333</v>
      </c>
      <c r="D9" t="n">
        <v>4.96</v>
      </c>
    </row>
    <row r="10">
      <c r="A10">
        <f>HYPERLINK("https://www.tradingview.com/chart/?symbol=NSE:PPLPHARMA", "PPLPHARMA")</f>
        <v/>
      </c>
      <c r="B10" t="n">
        <v>7074580</v>
      </c>
      <c r="C10" t="n">
        <v>1674732.166666667</v>
      </c>
      <c r="D10" t="n">
        <v>4.22</v>
      </c>
    </row>
    <row r="11">
      <c r="A11">
        <f>HYPERLINK("https://www.tradingview.com/chart/?symbol=NSE:NUVOCO", "NUVOCO")</f>
        <v/>
      </c>
      <c r="B11" t="n">
        <v>1159414</v>
      </c>
      <c r="C11" t="n">
        <v>282414.9666666667</v>
      </c>
      <c r="D11" t="n">
        <v>4.11</v>
      </c>
    </row>
    <row r="12">
      <c r="A12">
        <f>HYPERLINK("https://www.tradingview.com/chart/?symbol=NSE:CGCL", "CGCL")</f>
        <v/>
      </c>
      <c r="B12" t="n">
        <v>2940794</v>
      </c>
      <c r="C12" t="n">
        <v>729866.6666666666</v>
      </c>
      <c r="D12" t="n">
        <v>4.03</v>
      </c>
    </row>
    <row r="13">
      <c r="A13">
        <f>HYPERLINK("https://www.tradingview.com/chart/?symbol=NSE:ANURAS", "ANURAS")</f>
        <v/>
      </c>
      <c r="B13" t="n">
        <v>590338</v>
      </c>
      <c r="C13" t="n">
        <v>149314.7</v>
      </c>
      <c r="D13" t="n">
        <v>3.95</v>
      </c>
    </row>
    <row r="14">
      <c r="A14">
        <f>HYPERLINK("https://www.tradingview.com/chart/?symbol=NSE:KPITTECH", "KPITTECH")</f>
        <v/>
      </c>
      <c r="B14" t="n">
        <v>2664222</v>
      </c>
      <c r="C14" t="n">
        <v>712793.1666666666</v>
      </c>
      <c r="D14" t="n">
        <v>3.74</v>
      </c>
    </row>
    <row r="15">
      <c r="A15">
        <f>HYPERLINK("https://www.tradingview.com/chart/?symbol=NSE:UBL", "UBL")</f>
        <v/>
      </c>
      <c r="B15" t="n">
        <v>493381</v>
      </c>
      <c r="C15" t="n">
        <v>139830.5</v>
      </c>
      <c r="D15" t="n">
        <v>3.53</v>
      </c>
    </row>
    <row r="16">
      <c r="A16">
        <f>HYPERLINK("https://www.tradingview.com/chart/?symbol=NSE:JSWINFRA", "JSWINFRA")</f>
        <v/>
      </c>
      <c r="B16" t="n">
        <v>3728915</v>
      </c>
      <c r="C16" t="n">
        <v>1094691.666666667</v>
      </c>
      <c r="D16" t="n">
        <v>3.41</v>
      </c>
    </row>
    <row r="17">
      <c r="A17">
        <f>HYPERLINK("https://www.tradingview.com/chart/?symbol=NSE:BHARATFORG", "BHARATFORG")</f>
        <v/>
      </c>
      <c r="B17" t="n">
        <v>2209596</v>
      </c>
      <c r="C17" t="n">
        <v>675120.8666666667</v>
      </c>
      <c r="D17" t="n">
        <v>3.27</v>
      </c>
    </row>
    <row r="18">
      <c r="A18">
        <f>HYPERLINK("https://www.tradingview.com/chart/?symbol=NSE:POLICYBZR", "POLICYBZR")</f>
        <v/>
      </c>
      <c r="B18" t="n">
        <v>2717298</v>
      </c>
      <c r="C18" t="n">
        <v>863643.6666666666</v>
      </c>
      <c r="D18" t="n">
        <v>3.15</v>
      </c>
    </row>
    <row r="19">
      <c r="A19">
        <f>HYPERLINK("https://www.tradingview.com/chart/?symbol=NSE:BEML", "BEML")</f>
        <v/>
      </c>
      <c r="B19" t="n">
        <v>402372</v>
      </c>
      <c r="C19" t="n">
        <v>129848.6333333333</v>
      </c>
      <c r="D19" t="n">
        <v>3.1</v>
      </c>
    </row>
    <row r="20">
      <c r="A20">
        <f>HYPERLINK("https://www.tradingview.com/chart/?symbol=NSE:HDFCLIFE", "HDFCLIFE")</f>
        <v/>
      </c>
      <c r="B20" t="n">
        <v>12212828</v>
      </c>
      <c r="C20" t="n">
        <v>3974692.666666667</v>
      </c>
      <c r="D20" t="n">
        <v>3.07</v>
      </c>
    </row>
    <row r="21">
      <c r="A21">
        <f>HYPERLINK("https://www.tradingview.com/chart/?symbol=NSE:ENDURANCE", "ENDURANCE")</f>
        <v/>
      </c>
      <c r="B21" t="n">
        <v>169382</v>
      </c>
      <c r="C21" t="n">
        <v>55282.63333333333</v>
      </c>
      <c r="D21" t="n">
        <v>3.06</v>
      </c>
    </row>
    <row r="22">
      <c r="A22">
        <f>HYPERLINK("https://www.tradingview.com/chart/?symbol=NSE:GODREJCP", "GODREJCP")</f>
        <v/>
      </c>
      <c r="B22" t="n">
        <v>3181639</v>
      </c>
      <c r="C22" t="n">
        <v>1053590.133333333</v>
      </c>
      <c r="D22" t="n">
        <v>3.02</v>
      </c>
    </row>
    <row r="23">
      <c r="A23">
        <f>HYPERLINK("https://www.tradingview.com/chart/?symbol=NSE:JAINREC", "JAINREC")</f>
        <v/>
      </c>
      <c r="B23" t="n">
        <v>1746895</v>
      </c>
      <c r="C23" t="n">
        <v>581253.9666666667</v>
      </c>
      <c r="D23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2026-05-08T19:56:42Z</dcterms:created>
  <dcterms:modified xsi:type="dcterms:W3CDTF">2026-05-08T19:56:42Z</dcterms:modified>
</cp:coreProperties>
</file>