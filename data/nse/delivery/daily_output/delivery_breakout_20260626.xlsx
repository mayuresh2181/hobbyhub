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HYPERLINK("https://www.tradingview.com/chart/?symbol=NSE:INDIACEM","INDIACEM")</f>
        <v/>
      </c>
      <c r="B2" t="n">
        <v>1574631</v>
      </c>
      <c r="C2" t="n">
        <v>118362.1724137931</v>
      </c>
      <c r="D2" t="n">
        <v>13.3</v>
      </c>
    </row>
    <row r="3">
      <c r="A3">
        <f>HYPERLINK("https://www.tradingview.com/chart/?symbol=NSE:ZFCVINDIA","ZFCVINDIA")</f>
        <v/>
      </c>
      <c r="B3" t="n">
        <v>148700</v>
      </c>
      <c r="C3" t="n">
        <v>23002.41379310345</v>
      </c>
      <c r="D3" t="n">
        <v>6.46</v>
      </c>
    </row>
    <row r="4">
      <c r="A4">
        <f>HYPERLINK("https://www.tradingview.com/chart/?symbol=NSE:MSUMI","MSUMI")</f>
        <v/>
      </c>
      <c r="B4" t="n">
        <v>30732153</v>
      </c>
      <c r="C4" t="n">
        <v>5998779.620689655</v>
      </c>
      <c r="D4" t="n">
        <v>5.12</v>
      </c>
    </row>
    <row r="5">
      <c r="A5">
        <f>HYPERLINK("https://www.tradingview.com/chart/?symbol=NSE:HONASA","HONASA")</f>
        <v/>
      </c>
      <c r="B5" t="n">
        <v>5046091</v>
      </c>
      <c r="C5" t="n">
        <v>1092996.137931034</v>
      </c>
      <c r="D5" t="n">
        <v>4.62</v>
      </c>
    </row>
    <row r="6">
      <c r="A6">
        <f>HYPERLINK("https://www.tradingview.com/chart/?symbol=NSE:IRFC","IRFC")</f>
        <v/>
      </c>
      <c r="B6" t="n">
        <v>20863507</v>
      </c>
      <c r="C6" t="n">
        <v>4699440.896551725</v>
      </c>
      <c r="D6" t="n">
        <v>4.44</v>
      </c>
    </row>
    <row r="7">
      <c r="A7">
        <f>HYPERLINK("https://www.tradingview.com/chart/?symbol=NSE:INDIGO","INDIGO")</f>
        <v/>
      </c>
      <c r="B7" t="n">
        <v>2813810</v>
      </c>
      <c r="C7" t="n">
        <v>636900.9655172414</v>
      </c>
      <c r="D7" t="n">
        <v>4.42</v>
      </c>
    </row>
    <row r="8">
      <c r="A8">
        <f>HYPERLINK("https://www.tradingview.com/chart/?symbol=NSE:OFSS","OFSS")</f>
        <v/>
      </c>
      <c r="B8" t="n">
        <v>463990</v>
      </c>
      <c r="C8" t="n">
        <v>119232.2068965517</v>
      </c>
      <c r="D8" t="n">
        <v>3.89</v>
      </c>
    </row>
    <row r="9">
      <c r="A9">
        <f>HYPERLINK("https://www.tradingview.com/chart/?symbol=NSE:M&amp;MFIN","M&amp;MFIN")</f>
        <v/>
      </c>
      <c r="B9" t="n">
        <v>5006126</v>
      </c>
      <c r="C9" t="n">
        <v>1323365.96969697</v>
      </c>
      <c r="D9" t="n">
        <v>3.78</v>
      </c>
    </row>
    <row r="10">
      <c r="A10">
        <f>HYPERLINK("https://www.tradingview.com/chart/?symbol=NSE:TATACHEM","TATACHEM")</f>
        <v/>
      </c>
      <c r="B10" t="n">
        <v>1136782</v>
      </c>
      <c r="C10" t="n">
        <v>300713.8620689655</v>
      </c>
      <c r="D10" t="n">
        <v>3.78</v>
      </c>
    </row>
    <row r="11">
      <c r="A11">
        <f>HYPERLINK("https://www.tradingview.com/chart/?symbol=NSE:SUPREMEIND","SUPREMEIND")</f>
        <v/>
      </c>
      <c r="B11" t="n">
        <v>321937</v>
      </c>
      <c r="C11" t="n">
        <v>87361.10344827586</v>
      </c>
      <c r="D11" t="n">
        <v>3.69</v>
      </c>
    </row>
    <row r="12">
      <c r="A12">
        <f>HYPERLINK("https://www.tradingview.com/chart/?symbol=NSE:EMAMILTD","EMAMILTD")</f>
        <v/>
      </c>
      <c r="B12" t="n">
        <v>1172171</v>
      </c>
      <c r="C12" t="n">
        <v>353371.4827586207</v>
      </c>
      <c r="D12" t="n">
        <v>3.32</v>
      </c>
    </row>
    <row r="13">
      <c r="A13">
        <f>HYPERLINK("https://www.tradingview.com/chart/?symbol=NSE:JINDALSTEL","JINDALSTEL")</f>
        <v/>
      </c>
      <c r="B13" t="n">
        <v>2045411</v>
      </c>
      <c r="C13" t="n">
        <v>637430.6551724138</v>
      </c>
      <c r="D13" t="n">
        <v>3.21</v>
      </c>
    </row>
    <row r="14">
      <c r="A14">
        <f>HYPERLINK("https://www.tradingview.com/chart/?symbol=NSE:CHOLAFIN","CHOLAFIN")</f>
        <v/>
      </c>
      <c r="B14" t="n">
        <v>2844665</v>
      </c>
      <c r="C14" t="n">
        <v>909119.2413793104</v>
      </c>
      <c r="D14" t="n">
        <v>3.13</v>
      </c>
    </row>
    <row r="15">
      <c r="A15">
        <f>HYPERLINK("https://www.tradingview.com/chart/?symbol=NSE:RAMCOCEM","RAMCOCEM")</f>
        <v/>
      </c>
      <c r="B15" t="n">
        <v>315521</v>
      </c>
      <c r="C15" t="n">
        <v>101410.3103448276</v>
      </c>
      <c r="D15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2026-06-27T19:54:41Z</dcterms:created>
  <dcterms:modified xsi:type="dcterms:W3CDTF">2026-06-27T19:54:41Z</dcterms:modified>
</cp:coreProperties>
</file>