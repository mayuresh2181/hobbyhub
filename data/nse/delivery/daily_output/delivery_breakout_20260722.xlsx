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HYPERLINK("https://www.tradingview.com/chart/?symbol=NSE:BANDHANBNK","BANDHANBNK")</f>
        <v/>
      </c>
      <c r="B2" t="n">
        <v>173.5</v>
      </c>
      <c r="C2" t="n">
        <v>156943419</v>
      </c>
      <c r="D2" t="n">
        <v>52638057</v>
      </c>
      <c r="E2" t="n">
        <v>33.54</v>
      </c>
      <c r="F2" t="n">
        <v>4205895.6</v>
      </c>
      <c r="G2" t="n">
        <v>12.52</v>
      </c>
      <c r="H2" t="n">
        <v>2722.97</v>
      </c>
      <c r="I2" t="n">
        <v>913.27</v>
      </c>
    </row>
    <row r="3">
      <c r="A3">
        <f>HYPERLINK("https://www.tradingview.com/chart/?symbol=NSE:ANTHEM","ANTHEM")</f>
        <v/>
      </c>
      <c r="B3" t="n">
        <v>778.9</v>
      </c>
      <c r="C3" t="n">
        <v>4415918</v>
      </c>
      <c r="D3" t="n">
        <v>2885977</v>
      </c>
      <c r="E3" t="n">
        <v>65.34999999999999</v>
      </c>
      <c r="F3" t="n">
        <v>345059.1666666667</v>
      </c>
      <c r="G3" t="n">
        <v>8.359999999999999</v>
      </c>
      <c r="H3" t="n">
        <v>343.96</v>
      </c>
      <c r="I3" t="n">
        <v>224.79</v>
      </c>
    </row>
    <row r="4">
      <c r="A4">
        <f>HYPERLINK("https://www.tradingview.com/chart/?symbol=NSE:BLUESTONE","BLUESTONE")</f>
        <v/>
      </c>
      <c r="B4" t="n">
        <v>776.05</v>
      </c>
      <c r="C4" t="n">
        <v>29503987</v>
      </c>
      <c r="D4" t="n">
        <v>2889236</v>
      </c>
      <c r="E4" t="n">
        <v>9.789999999999999</v>
      </c>
      <c r="F4" t="n">
        <v>243190.5666666667</v>
      </c>
      <c r="G4" t="n">
        <v>11.88</v>
      </c>
      <c r="H4" t="n">
        <v>2289.66</v>
      </c>
      <c r="I4" t="n">
        <v>224.22</v>
      </c>
    </row>
    <row r="5">
      <c r="A5">
        <f>HYPERLINK("https://www.tradingview.com/chart/?symbol=NSE:CYIENTDLM","CYIENTDLM")</f>
        <v/>
      </c>
      <c r="B5" t="n">
        <v>698.15</v>
      </c>
      <c r="C5" t="n">
        <v>12932202</v>
      </c>
      <c r="D5" t="n">
        <v>1747161</v>
      </c>
      <c r="E5" t="n">
        <v>13.51</v>
      </c>
      <c r="F5" t="n">
        <v>211281.3666666667</v>
      </c>
      <c r="G5" t="n">
        <v>8.27</v>
      </c>
      <c r="H5" t="n">
        <v>902.86</v>
      </c>
      <c r="I5" t="n">
        <v>121.98</v>
      </c>
    </row>
    <row r="6">
      <c r="A6">
        <f>HYPERLINK("https://www.tradingview.com/chart/?symbol=NSE:LOTUSDEV","LOTUSDEV")</f>
        <v/>
      </c>
      <c r="B6" t="n">
        <v>162.7</v>
      </c>
      <c r="C6" t="n">
        <v>18438054</v>
      </c>
      <c r="D6" t="n">
        <v>7462786</v>
      </c>
      <c r="E6" t="n">
        <v>40.47</v>
      </c>
      <c r="F6" t="n">
        <v>384794.0666666667</v>
      </c>
      <c r="G6" t="n">
        <v>19.39</v>
      </c>
      <c r="H6" t="n">
        <v>299.99</v>
      </c>
      <c r="I6" t="n">
        <v>121.42</v>
      </c>
    </row>
    <row r="7">
      <c r="A7">
        <f>HYPERLINK("https://www.tradingview.com/chart/?symbol=NSE:STYLAMIND","STYLAMIND")</f>
        <v/>
      </c>
      <c r="B7" t="n">
        <v>3587.4</v>
      </c>
      <c r="C7" t="n">
        <v>1979903</v>
      </c>
      <c r="D7" t="n">
        <v>232381</v>
      </c>
      <c r="E7" t="n">
        <v>11.74</v>
      </c>
      <c r="F7" t="n">
        <v>14672.16666666667</v>
      </c>
      <c r="G7" t="n">
        <v>15.84</v>
      </c>
      <c r="H7" t="n">
        <v>710.27</v>
      </c>
      <c r="I7" t="n">
        <v>83.36</v>
      </c>
    </row>
    <row r="8">
      <c r="A8">
        <f>HYPERLINK("https://www.tradingview.com/chart/?symbol=NSE:HUHTAMAKI","HUHTAMAKI")</f>
        <v/>
      </c>
      <c r="B8" t="n">
        <v>291.98</v>
      </c>
      <c r="C8" t="n">
        <v>24962628</v>
      </c>
      <c r="D8" t="n">
        <v>2833171</v>
      </c>
      <c r="E8" t="n">
        <v>11.35</v>
      </c>
      <c r="F8" t="n">
        <v>221604.7333333333</v>
      </c>
      <c r="G8" t="n">
        <v>12.78</v>
      </c>
      <c r="H8" t="n">
        <v>728.86</v>
      </c>
      <c r="I8" t="n">
        <v>82.72</v>
      </c>
    </row>
    <row r="9">
      <c r="A9">
        <f>HYPERLINK("https://www.tradingview.com/chart/?symbol=NSE:JUBLINGREA","JUBLINGREA")</f>
        <v/>
      </c>
      <c r="B9" t="n">
        <v>743.75</v>
      </c>
      <c r="C9" t="n">
        <v>4886609</v>
      </c>
      <c r="D9" t="n">
        <v>1069547</v>
      </c>
      <c r="E9" t="n">
        <v>21.89</v>
      </c>
      <c r="F9" t="n">
        <v>212210.3666666667</v>
      </c>
      <c r="G9" t="n">
        <v>5.04</v>
      </c>
      <c r="H9" t="n">
        <v>363.44</v>
      </c>
      <c r="I9" t="n">
        <v>79.55</v>
      </c>
    </row>
    <row r="10">
      <c r="A10">
        <f>HYPERLINK("https://www.tradingview.com/chart/?symbol=NSE:CRAMC","CRAMC")</f>
        <v/>
      </c>
      <c r="B10" t="n">
        <v>266.81</v>
      </c>
      <c r="C10" t="n">
        <v>30946288</v>
      </c>
      <c r="D10" t="n">
        <v>2565624</v>
      </c>
      <c r="E10" t="n">
        <v>8.289999999999999</v>
      </c>
      <c r="F10" t="n">
        <v>190847.4333333333</v>
      </c>
      <c r="G10" t="n">
        <v>13.44</v>
      </c>
      <c r="H10" t="n">
        <v>825.6799999999999</v>
      </c>
      <c r="I10" t="n">
        <v>68.45</v>
      </c>
    </row>
    <row r="11">
      <c r="A11">
        <f>HYPERLINK("https://www.tradingview.com/chart/?symbol=NSE:TIPSMUSIC","TIPSMUSIC")</f>
        <v/>
      </c>
      <c r="B11" t="n">
        <v>622.85</v>
      </c>
      <c r="C11" t="n">
        <v>2886455</v>
      </c>
      <c r="D11" t="n">
        <v>943865</v>
      </c>
      <c r="E11" t="n">
        <v>32.7</v>
      </c>
      <c r="F11" t="n">
        <v>128702.2</v>
      </c>
      <c r="G11" t="n">
        <v>7.33</v>
      </c>
      <c r="H11" t="n">
        <v>179.78</v>
      </c>
      <c r="I11" t="n">
        <v>58.79</v>
      </c>
    </row>
    <row r="12">
      <c r="A12">
        <f>HYPERLINK("https://www.tradingview.com/chart/?symbol=NSE:PNGJL","PNGJL")</f>
        <v/>
      </c>
      <c r="B12" t="n">
        <v>636.6</v>
      </c>
      <c r="C12" t="n">
        <v>2511781</v>
      </c>
      <c r="D12" t="n">
        <v>887555</v>
      </c>
      <c r="E12" t="n">
        <v>35.34</v>
      </c>
      <c r="F12" t="n">
        <v>138160.3333333333</v>
      </c>
      <c r="G12" t="n">
        <v>6.42</v>
      </c>
      <c r="H12" t="n">
        <v>159.9</v>
      </c>
      <c r="I12" t="n">
        <v>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2026-07-22T19:54:35Z</dcterms:created>
  <dcterms:modified xsi:type="dcterms:W3CDTF">2026-07-22T19:54:35Z</dcterms:modified>
</cp:coreProperties>
</file>