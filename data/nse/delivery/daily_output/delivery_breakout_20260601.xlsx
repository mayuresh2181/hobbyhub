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HYPERLINK("https://www.tradingview.com/chart/?symbol=NSE:TEGA","TEGA")</f>
        <v/>
      </c>
      <c r="B2" t="n">
        <v>313040</v>
      </c>
      <c r="C2" t="n">
        <v>25618.20689655172</v>
      </c>
      <c r="D2" t="n">
        <v>12.22</v>
      </c>
    </row>
    <row r="3">
      <c r="A3">
        <f>HYPERLINK("https://www.tradingview.com/chart/?symbol=NSE:PTCIL","PTCIL")</f>
        <v/>
      </c>
      <c r="B3" t="n">
        <v>48410</v>
      </c>
      <c r="C3" t="n">
        <v>5224.379310344828</v>
      </c>
      <c r="D3" t="n">
        <v>9.27</v>
      </c>
    </row>
    <row r="4">
      <c r="A4">
        <f>HYPERLINK("https://www.tradingview.com/chart/?symbol=NSE:NSLNISP","NSLNISP")</f>
        <v/>
      </c>
      <c r="B4" t="n">
        <v>21584903</v>
      </c>
      <c r="C4" t="n">
        <v>2580125.827586207</v>
      </c>
      <c r="D4" t="n">
        <v>8.369999999999999</v>
      </c>
    </row>
    <row r="5">
      <c r="A5">
        <f>HYPERLINK("https://www.tradingview.com/chart/?symbol=NSE:CARBORUNIV","CARBORUNIV")</f>
        <v/>
      </c>
      <c r="B5" t="n">
        <v>978761</v>
      </c>
      <c r="C5" t="n">
        <v>142555.8275862069</v>
      </c>
      <c r="D5" t="n">
        <v>6.87</v>
      </c>
    </row>
    <row r="6">
      <c r="A6">
        <f>HYPERLINK("https://www.tradingview.com/chart/?symbol=NSE:RHIM","RHIM")</f>
        <v/>
      </c>
      <c r="B6" t="n">
        <v>661970</v>
      </c>
      <c r="C6" t="n">
        <v>114999.1379310345</v>
      </c>
      <c r="D6" t="n">
        <v>5.76</v>
      </c>
    </row>
    <row r="7">
      <c r="A7">
        <f>HYPERLINK("https://www.tradingview.com/chart/?symbol=NSE:LTTS","LTTS")</f>
        <v/>
      </c>
      <c r="B7" t="n">
        <v>240474</v>
      </c>
      <c r="C7" t="n">
        <v>44852.58620689655</v>
      </c>
      <c r="D7" t="n">
        <v>5.36</v>
      </c>
    </row>
    <row r="8">
      <c r="A8">
        <f>HYPERLINK("https://www.tradingview.com/chart/?symbol=NSE:CPPLUS","CPPLUS")</f>
        <v/>
      </c>
      <c r="B8" t="n">
        <v>692681</v>
      </c>
      <c r="C8" t="n">
        <v>146279.1724137931</v>
      </c>
      <c r="D8" t="n">
        <v>4.74</v>
      </c>
    </row>
    <row r="9">
      <c r="A9">
        <f>HYPERLINK("https://www.tradingview.com/chart/?symbol=NSE:WOCKPHARMA","WOCKPHARMA")</f>
        <v/>
      </c>
      <c r="B9" t="n">
        <v>2465593</v>
      </c>
      <c r="C9" t="n">
        <v>547938.551724138</v>
      </c>
      <c r="D9" t="n">
        <v>4.5</v>
      </c>
    </row>
    <row r="10">
      <c r="A10">
        <f>HYPERLINK("https://www.tradingview.com/chart/?symbol=NSE:SAREGAMA","SAREGAMA")</f>
        <v/>
      </c>
      <c r="B10" t="n">
        <v>1664917</v>
      </c>
      <c r="C10" t="n">
        <v>431550.5862068966</v>
      </c>
      <c r="D10" t="n">
        <v>3.86</v>
      </c>
    </row>
    <row r="11">
      <c r="A11">
        <f>HYPERLINK("https://www.tradingview.com/chart/?symbol=NSE:NATCOPHARM","NATCOPHARM")</f>
        <v/>
      </c>
      <c r="B11" t="n">
        <v>950783</v>
      </c>
      <c r="C11" t="n">
        <v>259284.724137931</v>
      </c>
      <c r="D11" t="n">
        <v>3.67</v>
      </c>
    </row>
    <row r="12">
      <c r="A12">
        <f>HYPERLINK("https://www.tradingview.com/chart/?symbol=NSE:JMFINANCIL","JMFINANCIL")</f>
        <v/>
      </c>
      <c r="B12" t="n">
        <v>3562619</v>
      </c>
      <c r="C12" t="n">
        <v>993236.7586206896</v>
      </c>
      <c r="D12" t="n">
        <v>3.59</v>
      </c>
    </row>
    <row r="13">
      <c r="A13">
        <f>HYPERLINK("https://www.tradingview.com/chart/?symbol=NSE:ANANDRATHI","ANANDRATHI")</f>
        <v/>
      </c>
      <c r="B13" t="n">
        <v>716626</v>
      </c>
      <c r="C13" t="n">
        <v>203075.5517241379</v>
      </c>
      <c r="D13" t="n">
        <v>3.53</v>
      </c>
    </row>
    <row r="14">
      <c r="A14">
        <f>HYPERLINK("https://www.tradingview.com/chart/?symbol=NSE:AEGISLOG","AEGISLOG")</f>
        <v/>
      </c>
      <c r="B14" t="n">
        <v>785810</v>
      </c>
      <c r="C14" t="n">
        <v>226576.7586206897</v>
      </c>
      <c r="D14" t="n">
        <v>3.47</v>
      </c>
    </row>
    <row r="15">
      <c r="A15">
        <f>HYPERLINK("https://www.tradingview.com/chart/?symbol=NSE:REDINGTON","REDINGTON")</f>
        <v/>
      </c>
      <c r="B15" t="n">
        <v>5766209</v>
      </c>
      <c r="C15" t="n">
        <v>1686341.896551724</v>
      </c>
      <c r="D15" t="n">
        <v>3.42</v>
      </c>
    </row>
    <row r="16">
      <c r="A16">
        <f>HYPERLINK("https://www.tradingview.com/chart/?symbol=NSE:EIDPARRY","EIDPARRY")</f>
        <v/>
      </c>
      <c r="B16" t="n">
        <v>465169</v>
      </c>
      <c r="C16" t="n">
        <v>137006.6206896552</v>
      </c>
      <c r="D16" t="n">
        <v>3.4</v>
      </c>
    </row>
    <row r="17">
      <c r="A17">
        <f>HYPERLINK("https://www.tradingview.com/chart/?symbol=NSE:KPRMILL","KPRMILL")</f>
        <v/>
      </c>
      <c r="B17" t="n">
        <v>307915</v>
      </c>
      <c r="C17" t="n">
        <v>95336.72413793103</v>
      </c>
      <c r="D17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2026-06-02T21:34:34Z</dcterms:created>
  <dcterms:modified xsi:type="dcterms:W3CDTF">2026-06-02T21:34:34Z</dcterms:modified>
</cp:coreProperties>
</file>