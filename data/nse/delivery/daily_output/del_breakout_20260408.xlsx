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HYPERLINK("https://www.tradingview.com/chart/?symbol=NSE:GALLANTT", "GALLANTT")</f>
        <v/>
      </c>
      <c r="B2" t="n">
        <v>1752570</v>
      </c>
      <c r="C2" t="n">
        <v>139638.5666666667</v>
      </c>
      <c r="D2" t="n">
        <v>12.55</v>
      </c>
    </row>
    <row r="3">
      <c r="A3">
        <f>HYPERLINK("https://www.tradingview.com/chart/?symbol=NSE:UTIAMC", "UTIAMC")</f>
        <v/>
      </c>
      <c r="B3" t="n">
        <v>672093</v>
      </c>
      <c r="C3" t="n">
        <v>71809.83333333333</v>
      </c>
      <c r="D3" t="n">
        <v>9.359999999999999</v>
      </c>
    </row>
    <row r="4">
      <c r="A4">
        <f>HYPERLINK("https://www.tradingview.com/chart/?symbol=NSE:GODIGIT", "GODIGIT")</f>
        <v/>
      </c>
      <c r="B4" t="n">
        <v>1458555</v>
      </c>
      <c r="C4" t="n">
        <v>194654.5333333333</v>
      </c>
      <c r="D4" t="n">
        <v>7.49</v>
      </c>
    </row>
    <row r="5">
      <c r="A5">
        <f>HYPERLINK("https://www.tradingview.com/chart/?symbol=NSE:M&amp;MFIN", "M&amp;MFIN")</f>
        <v/>
      </c>
      <c r="B5" t="n">
        <v>3729304</v>
      </c>
      <c r="C5" t="n">
        <v>509287.6896551724</v>
      </c>
      <c r="D5" t="n">
        <v>7.32</v>
      </c>
    </row>
    <row r="6">
      <c r="A6">
        <f>HYPERLINK("https://www.tradingview.com/chart/?symbol=NSE:ITCHOTELS", "ITCHOTELS")</f>
        <v/>
      </c>
      <c r="B6" t="n">
        <v>24990144</v>
      </c>
      <c r="C6" t="n">
        <v>4841003.1</v>
      </c>
      <c r="D6" t="n">
        <v>5.16</v>
      </c>
    </row>
    <row r="7">
      <c r="A7">
        <f>HYPERLINK("https://www.tradingview.com/chart/?symbol=NSE:BBTC", "BBTC")</f>
        <v/>
      </c>
      <c r="B7" t="n">
        <v>143004</v>
      </c>
      <c r="C7" t="n">
        <v>30342.03333333333</v>
      </c>
      <c r="D7" t="n">
        <v>4.71</v>
      </c>
    </row>
    <row r="8">
      <c r="A8">
        <f>HYPERLINK("https://www.tradingview.com/chart/?symbol=NSE:ANTHEM", "ANTHEM")</f>
        <v/>
      </c>
      <c r="B8" t="n">
        <v>1023132</v>
      </c>
      <c r="C8" t="n">
        <v>235419.5666666667</v>
      </c>
      <c r="D8" t="n">
        <v>4.35</v>
      </c>
    </row>
    <row r="9">
      <c r="A9">
        <f>HYPERLINK("https://www.tradingview.com/chart/?symbol=NSE:OIL", "OIL")</f>
        <v/>
      </c>
      <c r="B9" t="n">
        <v>8897101</v>
      </c>
      <c r="C9" t="n">
        <v>2396336.766666667</v>
      </c>
      <c r="D9" t="n">
        <v>3.71</v>
      </c>
    </row>
    <row r="10">
      <c r="A10">
        <f>HYPERLINK("https://www.tradingview.com/chart/?symbol=NSE:3MINDIA", "3MINDIA")</f>
        <v/>
      </c>
      <c r="B10" t="n">
        <v>9001</v>
      </c>
      <c r="C10" t="n">
        <v>2453.266666666667</v>
      </c>
      <c r="D10" t="n">
        <v>3.67</v>
      </c>
    </row>
    <row r="11">
      <c r="A11">
        <f>HYPERLINK("https://www.tradingview.com/chart/?symbol=NSE:HONAUT", "HONAUT")</f>
        <v/>
      </c>
      <c r="B11" t="n">
        <v>14610</v>
      </c>
      <c r="C11" t="n">
        <v>4026.466666666667</v>
      </c>
      <c r="D11" t="n">
        <v>3.63</v>
      </c>
    </row>
    <row r="12">
      <c r="A12">
        <f>HYPERLINK("https://www.tradingview.com/chart/?symbol=NSE:CREDITACC", "CREDITACC")</f>
        <v/>
      </c>
      <c r="B12" t="n">
        <v>601566</v>
      </c>
      <c r="C12" t="n">
        <v>169297.1</v>
      </c>
      <c r="D12" t="n">
        <v>3.55</v>
      </c>
    </row>
    <row r="13">
      <c r="A13">
        <f>HYPERLINK("https://www.tradingview.com/chart/?symbol=NSE:IIFL", "IIFL")</f>
        <v/>
      </c>
      <c r="B13" t="n">
        <v>2296209</v>
      </c>
      <c r="C13" t="n">
        <v>686025.5</v>
      </c>
      <c r="D13" t="n">
        <v>3.35</v>
      </c>
    </row>
    <row r="14">
      <c r="A14">
        <f>HYPERLINK("https://www.tradingview.com/chart/?symbol=NSE:TITAN", "TITAN")</f>
        <v/>
      </c>
      <c r="B14" t="n">
        <v>2120914</v>
      </c>
      <c r="C14" t="n">
        <v>638069.2</v>
      </c>
      <c r="D14" t="n">
        <v>3.32</v>
      </c>
    </row>
    <row r="15">
      <c r="A15">
        <f>HYPERLINK("https://www.tradingview.com/chart/?symbol=NSE:THELEELA", "THELEELA")</f>
        <v/>
      </c>
      <c r="B15" t="n">
        <v>629138</v>
      </c>
      <c r="C15" t="n">
        <v>193568.3333333333</v>
      </c>
      <c r="D15" t="n">
        <v>3.25</v>
      </c>
    </row>
    <row r="16">
      <c r="A16">
        <f>HYPERLINK("https://www.tradingview.com/chart/?symbol=NSE:TBOTEK", "TBOTEK")</f>
        <v/>
      </c>
      <c r="B16" t="n">
        <v>302966</v>
      </c>
      <c r="C16" t="n">
        <v>93904.03333333334</v>
      </c>
      <c r="D16" t="n">
        <v>3.23</v>
      </c>
    </row>
    <row r="17">
      <c r="A17">
        <f>HYPERLINK("https://www.tradingview.com/chart/?symbol=NSE:KPIL", "KPIL")</f>
        <v/>
      </c>
      <c r="B17" t="n">
        <v>373322</v>
      </c>
      <c r="C17" t="n">
        <v>115922.2</v>
      </c>
      <c r="D17" t="n">
        <v>3.22</v>
      </c>
    </row>
    <row r="18">
      <c r="A18">
        <f>HYPERLINK("https://www.tradingview.com/chart/?symbol=NSE:BLUESTARCO", "BLUESTARCO")</f>
        <v/>
      </c>
      <c r="B18" t="n">
        <v>1018757</v>
      </c>
      <c r="C18" t="n">
        <v>322821.2666666667</v>
      </c>
      <c r="D18" t="n">
        <v>3.16</v>
      </c>
    </row>
    <row r="19">
      <c r="A19">
        <f>HYPERLINK("https://www.tradingview.com/chart/?symbol=NSE:ENDURANCE", "ENDURANCE")</f>
        <v/>
      </c>
      <c r="B19" t="n">
        <v>139334</v>
      </c>
      <c r="C19" t="n">
        <v>45852.2</v>
      </c>
      <c r="D19" t="n">
        <v>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2026-04-09T19:47:50Z</dcterms:created>
  <dcterms:modified xsi:type="dcterms:W3CDTF">2026-04-09T19:47:50Z</dcterms:modified>
</cp:coreProperties>
</file>