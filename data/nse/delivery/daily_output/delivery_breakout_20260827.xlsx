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HYPERLINK("https://www.tradingview.com/chart/?symbol=NSE:ICICIAMC","ICICIAMC")</f>
        <v/>
      </c>
      <c r="B2" t="n">
        <v>3093.6</v>
      </c>
      <c r="C2" t="n">
        <v>4775198</v>
      </c>
      <c r="D2" t="n">
        <v>2234661</v>
      </c>
      <c r="E2" t="n">
        <v>46.8</v>
      </c>
      <c r="F2" t="n">
        <v>174817</v>
      </c>
      <c r="G2" t="n">
        <v>12.78</v>
      </c>
      <c r="H2" t="n">
        <v>1477.26</v>
      </c>
      <c r="I2" t="n">
        <v>691.3099999999999</v>
      </c>
    </row>
    <row r="3">
      <c r="A3">
        <f>HYPERLINK("https://www.tradingview.com/chart/?symbol=NSE:LIQUIDADD","LIQUIDADD")</f>
        <v/>
      </c>
      <c r="B3" t="n">
        <v>1142.11</v>
      </c>
      <c r="C3" t="n">
        <v>1867757</v>
      </c>
      <c r="D3" t="n">
        <v>1793870</v>
      </c>
      <c r="E3" t="n">
        <v>96.04000000000001</v>
      </c>
      <c r="F3" t="n">
        <v>276703.8965517241</v>
      </c>
      <c r="G3" t="n">
        <v>6.48</v>
      </c>
      <c r="H3" t="n">
        <v>213.32</v>
      </c>
      <c r="I3" t="n">
        <v>204.88</v>
      </c>
    </row>
    <row r="4">
      <c r="A4">
        <f>HYPERLINK("https://www.tradingview.com/chart/?symbol=NSE:CASHIETF","CASHIETF")</f>
        <v/>
      </c>
      <c r="B4" t="n">
        <v>1077.01</v>
      </c>
      <c r="C4" t="n">
        <v>1788860</v>
      </c>
      <c r="D4" t="n">
        <v>1779622</v>
      </c>
      <c r="E4" t="n">
        <v>99.48</v>
      </c>
      <c r="F4" t="n">
        <v>183037.4827586207</v>
      </c>
      <c r="G4" t="n">
        <v>9.720000000000001</v>
      </c>
      <c r="H4" t="n">
        <v>192.66</v>
      </c>
      <c r="I4" t="n">
        <v>191.67</v>
      </c>
    </row>
    <row r="5">
      <c r="A5">
        <f>HYPERLINK("https://www.tradingview.com/chart/?symbol=NSE:HDBFS","HDBFS")</f>
        <v/>
      </c>
      <c r="B5" t="n">
        <v>685.15</v>
      </c>
      <c r="C5" t="n">
        <v>2515560</v>
      </c>
      <c r="D5" t="n">
        <v>2251575</v>
      </c>
      <c r="E5" t="n">
        <v>89.51000000000001</v>
      </c>
      <c r="F5" t="n">
        <v>345676.2413793103</v>
      </c>
      <c r="G5" t="n">
        <v>6.51</v>
      </c>
      <c r="H5" t="n">
        <v>172.35</v>
      </c>
      <c r="I5" t="n">
        <v>154.27</v>
      </c>
    </row>
    <row r="6">
      <c r="A6">
        <f>HYPERLINK("https://www.tradingview.com/chart/?symbol=NSE:HCC","HCC")</f>
        <v/>
      </c>
      <c r="B6" t="n">
        <v>25.1</v>
      </c>
      <c r="C6" t="n">
        <v>202003226</v>
      </c>
      <c r="D6" t="n">
        <v>59966638</v>
      </c>
      <c r="E6" t="n">
        <v>29.69</v>
      </c>
      <c r="F6" t="n">
        <v>10029063.62068965</v>
      </c>
      <c r="G6" t="n">
        <v>5.98</v>
      </c>
      <c r="H6" t="n">
        <v>507.03</v>
      </c>
      <c r="I6" t="n">
        <v>150.52</v>
      </c>
    </row>
    <row r="7">
      <c r="A7">
        <f>HYPERLINK("https://www.tradingview.com/chart/?symbol=NSE:WEL","WEL")</f>
        <v/>
      </c>
      <c r="B7" t="n">
        <v>124.74</v>
      </c>
      <c r="C7" t="n">
        <v>129566541</v>
      </c>
      <c r="D7" t="n">
        <v>11411659</v>
      </c>
      <c r="E7" t="n">
        <v>8.81</v>
      </c>
      <c r="F7" t="n">
        <v>344198.0344827586</v>
      </c>
      <c r="G7" t="n">
        <v>33.15</v>
      </c>
      <c r="H7" t="n">
        <v>1616.21</v>
      </c>
      <c r="I7" t="n">
        <v>142.35</v>
      </c>
    </row>
    <row r="8">
      <c r="A8">
        <f>HYPERLINK("https://www.tradingview.com/chart/?symbol=NSE:GRWRHITECH","GRWRHITECH")</f>
        <v/>
      </c>
      <c r="B8" t="n">
        <v>7060.5</v>
      </c>
      <c r="C8" t="n">
        <v>286267</v>
      </c>
      <c r="D8" t="n">
        <v>186474</v>
      </c>
      <c r="E8" t="n">
        <v>65.14</v>
      </c>
      <c r="F8" t="n">
        <v>28310.86206896552</v>
      </c>
      <c r="G8" t="n">
        <v>6.59</v>
      </c>
      <c r="H8" t="n">
        <v>202.12</v>
      </c>
      <c r="I8" t="n">
        <v>131.66</v>
      </c>
    </row>
    <row r="9">
      <c r="A9">
        <f>HYPERLINK("https://www.tradingview.com/chart/?symbol=NSE:SHYAMMETL","SHYAMMETL")</f>
        <v/>
      </c>
      <c r="B9" t="n">
        <v>1042.4</v>
      </c>
      <c r="C9" t="n">
        <v>2075025</v>
      </c>
      <c r="D9" t="n">
        <v>1166363</v>
      </c>
      <c r="E9" t="n">
        <v>56.21</v>
      </c>
      <c r="F9" t="n">
        <v>174772.5517241379</v>
      </c>
      <c r="G9" t="n">
        <v>6.67</v>
      </c>
      <c r="H9" t="n">
        <v>216.3</v>
      </c>
      <c r="I9" t="n">
        <v>121.58</v>
      </c>
    </row>
    <row r="10">
      <c r="A10">
        <f>HYPERLINK("https://www.tradingview.com/chart/?symbol=NSE:DCBBANK","DCBBANK")</f>
        <v/>
      </c>
      <c r="B10" t="n">
        <v>217.51</v>
      </c>
      <c r="C10" t="n">
        <v>9712688</v>
      </c>
      <c r="D10" t="n">
        <v>5478639</v>
      </c>
      <c r="E10" t="n">
        <v>56.41</v>
      </c>
      <c r="F10" t="n">
        <v>1023554.689655172</v>
      </c>
      <c r="G10" t="n">
        <v>5.35</v>
      </c>
      <c r="H10" t="n">
        <v>211.26</v>
      </c>
      <c r="I10" t="n">
        <v>119.17</v>
      </c>
    </row>
    <row r="11">
      <c r="A11">
        <f>HYPERLINK("https://www.tradingview.com/chart/?symbol=NSE:INOXINDIA","INOXINDIA")</f>
        <v/>
      </c>
      <c r="B11" t="n">
        <v>2177.9</v>
      </c>
      <c r="C11" t="n">
        <v>4484559</v>
      </c>
      <c r="D11" t="n">
        <v>463046</v>
      </c>
      <c r="E11" t="n">
        <v>10.33</v>
      </c>
      <c r="F11" t="n">
        <v>80062.58620689655</v>
      </c>
      <c r="G11" t="n">
        <v>5.78</v>
      </c>
      <c r="H11" t="n">
        <v>976.6900000000001</v>
      </c>
      <c r="I11" t="n">
        <v>100.85</v>
      </c>
    </row>
    <row r="12">
      <c r="A12">
        <f>HYPERLINK("https://www.tradingview.com/chart/?symbol=NSE:GOLDAXIS","GOLDAXIS")</f>
        <v/>
      </c>
      <c r="B12" t="n">
        <v>130.79</v>
      </c>
      <c r="C12" t="n">
        <v>10689255</v>
      </c>
      <c r="D12" t="n">
        <v>6619654</v>
      </c>
      <c r="E12" t="n">
        <v>61.93</v>
      </c>
      <c r="F12" t="n">
        <v>1131227.310344828</v>
      </c>
      <c r="G12" t="n">
        <v>5.85</v>
      </c>
      <c r="H12" t="n">
        <v>139.8</v>
      </c>
      <c r="I12" t="n">
        <v>86.58</v>
      </c>
    </row>
    <row r="13">
      <c r="A13">
        <f>HYPERLINK("https://www.tradingview.com/chart/?symbol=NSE:BBTC","BBTC")</f>
        <v/>
      </c>
      <c r="B13" t="n">
        <v>1613.6</v>
      </c>
      <c r="C13" t="n">
        <v>14319956</v>
      </c>
      <c r="D13" t="n">
        <v>518823</v>
      </c>
      <c r="E13" t="n">
        <v>3.62</v>
      </c>
      <c r="F13" t="n">
        <v>16123.48275862069</v>
      </c>
      <c r="G13" t="n">
        <v>32.18</v>
      </c>
      <c r="H13" t="n">
        <v>2310.67</v>
      </c>
      <c r="I13" t="n">
        <v>83.72</v>
      </c>
    </row>
    <row r="14">
      <c r="A14">
        <f>HYPERLINK("https://www.tradingview.com/chart/?symbol=NSE:NORTHARC","NORTHARC")</f>
        <v/>
      </c>
      <c r="B14" t="n">
        <v>286.3</v>
      </c>
      <c r="C14" t="n">
        <v>4612806</v>
      </c>
      <c r="D14" t="n">
        <v>2579683</v>
      </c>
      <c r="E14" t="n">
        <v>55.92</v>
      </c>
      <c r="F14" t="n">
        <v>424335.5862068966</v>
      </c>
      <c r="G14" t="n">
        <v>6.08</v>
      </c>
      <c r="H14" t="n">
        <v>132.06</v>
      </c>
      <c r="I14" t="n">
        <v>73.86</v>
      </c>
    </row>
    <row r="15">
      <c r="A15">
        <f>HYPERLINK("https://www.tradingview.com/chart/?symbol=NSE:NSLNISP","NSLNISP")</f>
        <v/>
      </c>
      <c r="B15" t="n">
        <v>44.99</v>
      </c>
      <c r="C15" t="n">
        <v>86668492</v>
      </c>
      <c r="D15" t="n">
        <v>16361459</v>
      </c>
      <c r="E15" t="n">
        <v>18.88</v>
      </c>
      <c r="F15" t="n">
        <v>1968191.034482759</v>
      </c>
      <c r="G15" t="n">
        <v>8.31</v>
      </c>
      <c r="H15" t="n">
        <v>389.92</v>
      </c>
      <c r="I15" t="n">
        <v>73.61</v>
      </c>
    </row>
    <row r="16">
      <c r="A16">
        <f>HYPERLINK("https://www.tradingview.com/chart/?symbol=NSE:AYE","AYE")</f>
        <v/>
      </c>
      <c r="B16" t="n">
        <v>181.54</v>
      </c>
      <c r="C16" t="n">
        <v>13672393</v>
      </c>
      <c r="D16" t="n">
        <v>4039423</v>
      </c>
      <c r="E16" t="n">
        <v>29.54</v>
      </c>
      <c r="F16" t="n">
        <v>382132.7586206897</v>
      </c>
      <c r="G16" t="n">
        <v>10.57</v>
      </c>
      <c r="H16" t="n">
        <v>248.21</v>
      </c>
      <c r="I16" t="n">
        <v>73.33</v>
      </c>
    </row>
    <row r="17">
      <c r="A17">
        <f>HYPERLINK("https://www.tradingview.com/chart/?symbol=NSE:WHIRLPOOL","WHIRLPOOL")</f>
        <v/>
      </c>
      <c r="B17" t="n">
        <v>841.15</v>
      </c>
      <c r="C17" t="n">
        <v>5452955</v>
      </c>
      <c r="D17" t="n">
        <v>864176</v>
      </c>
      <c r="E17" t="n">
        <v>15.85</v>
      </c>
      <c r="F17" t="n">
        <v>170517.1379310345</v>
      </c>
      <c r="G17" t="n">
        <v>5.07</v>
      </c>
      <c r="H17" t="n">
        <v>458.68</v>
      </c>
      <c r="I17" t="n">
        <v>72.69</v>
      </c>
    </row>
    <row r="18">
      <c r="A18">
        <f>HYPERLINK("https://www.tradingview.com/chart/?symbol=NSE:SILVERAXIS","SILVERAXIS")</f>
        <v/>
      </c>
      <c r="B18" t="n">
        <v>235.43</v>
      </c>
      <c r="C18" t="n">
        <v>3401405</v>
      </c>
      <c r="D18" t="n">
        <v>2587282</v>
      </c>
      <c r="E18" t="n">
        <v>76.06999999999999</v>
      </c>
      <c r="F18" t="n">
        <v>260156.5862068966</v>
      </c>
      <c r="G18" t="n">
        <v>9.949999999999999</v>
      </c>
      <c r="H18" t="n">
        <v>80.08</v>
      </c>
      <c r="I18" t="n">
        <v>60.91</v>
      </c>
    </row>
    <row r="19">
      <c r="A19">
        <f>HYPERLINK("https://www.tradingview.com/chart/?symbol=NSE:IMAGICAA","IMAGICAA")</f>
        <v/>
      </c>
      <c r="B19" t="n">
        <v>60.21</v>
      </c>
      <c r="C19" t="n">
        <v>34242813</v>
      </c>
      <c r="D19" t="n">
        <v>9264824</v>
      </c>
      <c r="E19" t="n">
        <v>27.06</v>
      </c>
      <c r="F19" t="n">
        <v>379670.3793103448</v>
      </c>
      <c r="G19" t="n">
        <v>24.4</v>
      </c>
      <c r="H19" t="n">
        <v>206.18</v>
      </c>
      <c r="I19" t="n">
        <v>55.78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2026-08-28T02:18:35Z</dcterms:created>
  <dcterms:modified xsi:type="dcterms:W3CDTF">2026-08-28T02:18:35Z</dcterms:modified>
</cp:coreProperties>
</file>