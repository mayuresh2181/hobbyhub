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DELIV_QTY</t>
        </is>
      </c>
      <c r="C1" s="1" t="inlineStr">
        <is>
          <t>AVG_30_DELIV_QTY</t>
        </is>
      </c>
      <c r="D1" s="1" t="inlineStr">
        <is>
          <t>RATIO</t>
        </is>
      </c>
    </row>
    <row r="2">
      <c r="A2">
        <f>HYPERLINK("https://www.tradingview.com/chart/?symbol=NSE:HONAUT", "HONAUT")</f>
        <v/>
      </c>
      <c r="B2" t="n">
        <v>27861</v>
      </c>
      <c r="C2" t="n">
        <v>2939.166666666667</v>
      </c>
      <c r="D2" t="n">
        <v>9.48</v>
      </c>
    </row>
    <row r="3">
      <c r="A3">
        <f>HYPERLINK("https://www.tradingview.com/chart/?symbol=NSE:JWL", "JWL")</f>
        <v/>
      </c>
      <c r="B3" t="n">
        <v>4396054</v>
      </c>
      <c r="C3" t="n">
        <v>538491.9</v>
      </c>
      <c r="D3" t="n">
        <v>8.16</v>
      </c>
    </row>
    <row r="4">
      <c r="A4">
        <f>HYPERLINK("https://www.tradingview.com/chart/?symbol=NSE:LTFOODS", "LTFOODS")</f>
        <v/>
      </c>
      <c r="B4" t="n">
        <v>3690259</v>
      </c>
      <c r="C4" t="n">
        <v>561172.1666666666</v>
      </c>
      <c r="D4" t="n">
        <v>6.58</v>
      </c>
    </row>
    <row r="5">
      <c r="A5">
        <f>HYPERLINK("https://www.tradingview.com/chart/?symbol=NSE:UNITDSPR", "UNITDSPR")</f>
        <v/>
      </c>
      <c r="B5" t="n">
        <v>2415987</v>
      </c>
      <c r="C5" t="n">
        <v>471689.5666666667</v>
      </c>
      <c r="D5" t="n">
        <v>5.12</v>
      </c>
    </row>
    <row r="6">
      <c r="A6">
        <f>HYPERLINK("https://www.tradingview.com/chart/?symbol=NSE:KIRLOSBROS", "KIRLOSBROS")</f>
        <v/>
      </c>
      <c r="B6" t="n">
        <v>144199</v>
      </c>
      <c r="C6" t="n">
        <v>28323.13333333334</v>
      </c>
      <c r="D6" t="n">
        <v>5.09</v>
      </c>
    </row>
    <row r="7">
      <c r="A7">
        <f>HYPERLINK("https://www.tradingview.com/chart/?symbol=NSE:INDIAMART", "INDIAMART")</f>
        <v/>
      </c>
      <c r="B7" t="n">
        <v>373560</v>
      </c>
      <c r="C7" t="n">
        <v>75795.33333333333</v>
      </c>
      <c r="D7" t="n">
        <v>4.93</v>
      </c>
    </row>
    <row r="8">
      <c r="A8">
        <f>HYPERLINK("https://www.tradingview.com/chart/?symbol=NSE:ANGELONE", "ANGELONE")</f>
        <v/>
      </c>
      <c r="B8" t="n">
        <v>3460286</v>
      </c>
      <c r="C8" t="n">
        <v>767316.4666666667</v>
      </c>
      <c r="D8" t="n">
        <v>4.51</v>
      </c>
    </row>
    <row r="9">
      <c r="A9">
        <f>HYPERLINK("https://www.tradingview.com/chart/?symbol=NSE:MAZDOCK", "MAZDOCK")</f>
        <v/>
      </c>
      <c r="B9" t="n">
        <v>1430938</v>
      </c>
      <c r="C9" t="n">
        <v>331658.6333333334</v>
      </c>
      <c r="D9" t="n">
        <v>4.31</v>
      </c>
    </row>
    <row r="10">
      <c r="A10">
        <f>HYPERLINK("https://www.tradingview.com/chart/?symbol=NSE:ABLBL", "ABLBL")</f>
        <v/>
      </c>
      <c r="B10" t="n">
        <v>6422573</v>
      </c>
      <c r="C10" t="n">
        <v>1652818.7</v>
      </c>
      <c r="D10" t="n">
        <v>3.89</v>
      </c>
    </row>
    <row r="11">
      <c r="A11">
        <f>HYPERLINK("https://www.tradingview.com/chart/?symbol=NSE:RADICO", "RADICO")</f>
        <v/>
      </c>
      <c r="B11" t="n">
        <v>945506</v>
      </c>
      <c r="C11" t="n">
        <v>248664.9666666667</v>
      </c>
      <c r="D11" t="n">
        <v>3.8</v>
      </c>
    </row>
    <row r="12">
      <c r="A12">
        <f>HYPERLINK("https://www.tradingview.com/chart/?symbol=NSE:ADANIGREEN", "ADANIGREEN")</f>
        <v/>
      </c>
      <c r="B12" t="n">
        <v>3667033</v>
      </c>
      <c r="C12" t="n">
        <v>1051527</v>
      </c>
      <c r="D12" t="n">
        <v>3.49</v>
      </c>
    </row>
    <row r="13">
      <c r="A13">
        <f>HYPERLINK("https://www.tradingview.com/chart/?symbol=NSE:IRCON", "IRCON")</f>
        <v/>
      </c>
      <c r="B13" t="n">
        <v>3113344</v>
      </c>
      <c r="C13" t="n">
        <v>894681.1666666666</v>
      </c>
      <c r="D13" t="n">
        <v>3.48</v>
      </c>
    </row>
    <row r="14">
      <c r="A14">
        <f>HYPERLINK("https://www.tradingview.com/chart/?symbol=NSE:SAPPHIRE", "SAPPHIRE")</f>
        <v/>
      </c>
      <c r="B14" t="n">
        <v>654125</v>
      </c>
      <c r="C14" t="n">
        <v>193406.4333333333</v>
      </c>
      <c r="D14" t="n">
        <v>3.38</v>
      </c>
    </row>
    <row r="15">
      <c r="A15">
        <f>HYPERLINK("https://www.tradingview.com/chart/?symbol=NSE:MANYAVAR", "MANYAVAR")</f>
        <v/>
      </c>
      <c r="B15" t="n">
        <v>477790</v>
      </c>
      <c r="C15" t="n">
        <v>144622.5333333333</v>
      </c>
      <c r="D15" t="n">
        <v>3.3</v>
      </c>
    </row>
    <row r="16">
      <c r="A16">
        <f>HYPERLINK("https://www.tradingview.com/chart/?symbol=NSE:PETRONET", "PETRONET")</f>
        <v/>
      </c>
      <c r="B16" t="n">
        <v>7071072</v>
      </c>
      <c r="C16" t="n">
        <v>2178629.1</v>
      </c>
      <c r="D16" t="n">
        <v>3.25</v>
      </c>
    </row>
    <row r="17">
      <c r="A17">
        <f>HYPERLINK("https://www.tradingview.com/chart/?symbol=NSE:PGHH", "PGHH")</f>
        <v/>
      </c>
      <c r="B17" t="n">
        <v>13104</v>
      </c>
      <c r="C17" t="n">
        <v>4067.566666666667</v>
      </c>
      <c r="D17" t="n">
        <v>3.22</v>
      </c>
    </row>
    <row r="18">
      <c r="A18">
        <f>HYPERLINK("https://www.tradingview.com/chart/?symbol=NSE:UBL", "UBL")</f>
        <v/>
      </c>
      <c r="B18" t="n">
        <v>249696</v>
      </c>
      <c r="C18" t="n">
        <v>81836.56666666667</v>
      </c>
      <c r="D18" t="n">
        <v>3.05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2026-03-08T19:38:49Z</dcterms:created>
  <dcterms:modified xsi:type="dcterms:W3CDTF">2026-03-08T19:38:49Z</dcterms:modified>
</cp:coreProperties>
</file>