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HYPERLINK("https://www.tradingview.com/chart/?symbol=NSE:FIRSTCRY", "FIRSTCRY")</f>
        <v/>
      </c>
      <c r="B2" t="n">
        <v>7414529</v>
      </c>
      <c r="C2" t="n">
        <v>1038112.033333333</v>
      </c>
      <c r="D2" t="n">
        <v>7.14</v>
      </c>
    </row>
    <row r="3">
      <c r="A3">
        <f>HYPERLINK("https://www.tradingview.com/chart/?symbol=NSE:SUNDRMFAST", "SUNDRMFAST")</f>
        <v/>
      </c>
      <c r="B3" t="n">
        <v>1076773</v>
      </c>
      <c r="C3" t="n">
        <v>171729.3666666667</v>
      </c>
      <c r="D3" t="n">
        <v>6.27</v>
      </c>
    </row>
    <row r="4">
      <c r="A4">
        <f>HYPERLINK("https://www.tradingview.com/chart/?symbol=NSE:ONESOURCE", "ONESOURCE")</f>
        <v/>
      </c>
      <c r="B4" t="n">
        <v>959273</v>
      </c>
      <c r="C4" t="n">
        <v>156261.6</v>
      </c>
      <c r="D4" t="n">
        <v>6.14</v>
      </c>
    </row>
    <row r="5">
      <c r="A5">
        <f>HYPERLINK("https://www.tradingview.com/chart/?symbol=NSE:ESCORTS", "ESCORTS")</f>
        <v/>
      </c>
      <c r="B5" t="n">
        <v>382698</v>
      </c>
      <c r="C5" t="n">
        <v>62901.76666666667</v>
      </c>
      <c r="D5" t="n">
        <v>6.08</v>
      </c>
    </row>
    <row r="6">
      <c r="A6">
        <f>HYPERLINK("https://www.tradingview.com/chart/?symbol=NSE:GODIGIT", "GODIGIT")</f>
        <v/>
      </c>
      <c r="B6" t="n">
        <v>1184356</v>
      </c>
      <c r="C6" t="n">
        <v>200341.2333333333</v>
      </c>
      <c r="D6" t="n">
        <v>5.91</v>
      </c>
    </row>
    <row r="7">
      <c r="A7">
        <f>HYPERLINK("https://www.tradingview.com/chart/?symbol=NSE:TTML", "TTML")</f>
        <v/>
      </c>
      <c r="B7" t="n">
        <v>4893539</v>
      </c>
      <c r="C7" t="n">
        <v>850607.9333333333</v>
      </c>
      <c r="D7" t="n">
        <v>5.75</v>
      </c>
    </row>
    <row r="8">
      <c r="A8">
        <f>HYPERLINK("https://www.tradingview.com/chart/?symbol=NSE:METROPOLIS", "METROPOLIS")</f>
        <v/>
      </c>
      <c r="B8" t="n">
        <v>133416</v>
      </c>
      <c r="C8" t="n">
        <v>26078.16666666667</v>
      </c>
      <c r="D8" t="n">
        <v>5.12</v>
      </c>
    </row>
    <row r="9">
      <c r="A9">
        <f>HYPERLINK("https://www.tradingview.com/chart/?symbol=NSE:BIOCON", "BIOCON")</f>
        <v/>
      </c>
      <c r="B9" t="n">
        <v>8256387</v>
      </c>
      <c r="C9" t="n">
        <v>1655936.766666667</v>
      </c>
      <c r="D9" t="n">
        <v>4.99</v>
      </c>
    </row>
    <row r="10">
      <c r="A10">
        <f>HYPERLINK("https://www.tradingview.com/chart/?symbol=NSE:BAYERCROP", "BAYERCROP")</f>
        <v/>
      </c>
      <c r="B10" t="n">
        <v>68790</v>
      </c>
      <c r="C10" t="n">
        <v>13897.43333333333</v>
      </c>
      <c r="D10" t="n">
        <v>4.95</v>
      </c>
    </row>
    <row r="11">
      <c r="A11">
        <f>HYPERLINK("https://www.tradingview.com/chart/?symbol=NSE:MEDANTA", "MEDANTA")</f>
        <v/>
      </c>
      <c r="B11" t="n">
        <v>384891</v>
      </c>
      <c r="C11" t="n">
        <v>77684.3</v>
      </c>
      <c r="D11" t="n">
        <v>4.95</v>
      </c>
    </row>
    <row r="12">
      <c r="A12">
        <f>HYPERLINK("https://www.tradingview.com/chart/?symbol=NSE:AKZOINDIA", "AKZOINDIA")</f>
        <v/>
      </c>
      <c r="B12" t="n">
        <v>98075</v>
      </c>
      <c r="C12" t="n">
        <v>19908.56666666667</v>
      </c>
      <c r="D12" t="n">
        <v>4.93</v>
      </c>
    </row>
    <row r="13">
      <c r="A13">
        <f>HYPERLINK("https://www.tradingview.com/chart/?symbol=NSE:AWL", "AWL")</f>
        <v/>
      </c>
      <c r="B13" t="n">
        <v>7779354</v>
      </c>
      <c r="C13" t="n">
        <v>1592274.666666667</v>
      </c>
      <c r="D13" t="n">
        <v>4.89</v>
      </c>
    </row>
    <row r="14">
      <c r="A14">
        <f>HYPERLINK("https://www.tradingview.com/chart/?symbol=NSE:GMDCLTD", "GMDCLTD")</f>
        <v/>
      </c>
      <c r="B14" t="n">
        <v>4300102</v>
      </c>
      <c r="C14" t="n">
        <v>943594.6</v>
      </c>
      <c r="D14" t="n">
        <v>4.56</v>
      </c>
    </row>
    <row r="15">
      <c r="A15">
        <f>HYPERLINK("https://www.tradingview.com/chart/?symbol=NSE:SAGILITY", "SAGILITY")</f>
        <v/>
      </c>
      <c r="B15" t="n">
        <v>64121493</v>
      </c>
      <c r="C15" t="n">
        <v>14315215.16666667</v>
      </c>
      <c r="D15" t="n">
        <v>4.48</v>
      </c>
    </row>
    <row r="16">
      <c r="A16">
        <f>HYPERLINK("https://www.tradingview.com/chart/?symbol=NSE:JBMA", "JBMA")</f>
        <v/>
      </c>
      <c r="B16" t="n">
        <v>877809</v>
      </c>
      <c r="C16" t="n">
        <v>196202.1333333333</v>
      </c>
      <c r="D16" t="n">
        <v>4.47</v>
      </c>
    </row>
    <row r="17">
      <c r="A17">
        <f>HYPERLINK("https://www.tradingview.com/chart/?symbol=NSE:IOB", "IOB")</f>
        <v/>
      </c>
      <c r="B17" t="n">
        <v>13371036</v>
      </c>
      <c r="C17" t="n">
        <v>3003194.033333333</v>
      </c>
      <c r="D17" t="n">
        <v>4.45</v>
      </c>
    </row>
    <row r="18">
      <c r="A18">
        <f>HYPERLINK("https://www.tradingview.com/chart/?symbol=NSE:SWIGGY", "SWIGGY")</f>
        <v/>
      </c>
      <c r="B18" t="n">
        <v>21070676</v>
      </c>
      <c r="C18" t="n">
        <v>4767779.6</v>
      </c>
      <c r="D18" t="n">
        <v>4.42</v>
      </c>
    </row>
    <row r="19">
      <c r="A19">
        <f>HYPERLINK("https://www.tradingview.com/chart/?symbol=NSE:ITCHOTELS", "ITCHOTELS")</f>
        <v/>
      </c>
      <c r="B19" t="n">
        <v>11922942</v>
      </c>
      <c r="C19" t="n">
        <v>2703459.466666667</v>
      </c>
      <c r="D19" t="n">
        <v>4.41</v>
      </c>
    </row>
    <row r="20">
      <c r="A20">
        <f>HYPERLINK("https://www.tradingview.com/chart/?symbol=NSE:PGHH", "PGHH")</f>
        <v/>
      </c>
      <c r="B20" t="n">
        <v>33078</v>
      </c>
      <c r="C20" t="n">
        <v>7499.833333333333</v>
      </c>
      <c r="D20" t="n">
        <v>4.41</v>
      </c>
    </row>
    <row r="21">
      <c r="A21">
        <f>HYPERLINK("https://www.tradingview.com/chart/?symbol=NSE:SHRIRAMFIN", "SHRIRAMFIN")</f>
        <v/>
      </c>
      <c r="B21" t="n">
        <v>16283901</v>
      </c>
      <c r="C21" t="n">
        <v>3895299.666666667</v>
      </c>
      <c r="D21" t="n">
        <v>4.18</v>
      </c>
    </row>
    <row r="22">
      <c r="A22">
        <f>HYPERLINK("https://www.tradingview.com/chart/?symbol=NSE:WHIRLPOOL", "WHIRLPOOL")</f>
        <v/>
      </c>
      <c r="B22" t="n">
        <v>717331</v>
      </c>
      <c r="C22" t="n">
        <v>178649.1666666667</v>
      </c>
      <c r="D22" t="n">
        <v>4.02</v>
      </c>
    </row>
    <row r="23">
      <c r="A23">
        <f>HYPERLINK("https://www.tradingview.com/chart/?symbol=NSE:ZEEL", "ZEEL")</f>
        <v/>
      </c>
      <c r="B23" t="n">
        <v>14690476</v>
      </c>
      <c r="C23" t="n">
        <v>3824762.766666667</v>
      </c>
      <c r="D23" t="n">
        <v>3.84</v>
      </c>
    </row>
    <row r="24">
      <c r="A24">
        <f>HYPERLINK("https://www.tradingview.com/chart/?symbol=NSE:JKCEMENT", "JKCEMENT")</f>
        <v/>
      </c>
      <c r="B24" t="n">
        <v>146172</v>
      </c>
      <c r="C24" t="n">
        <v>38848.56666666667</v>
      </c>
      <c r="D24" t="n">
        <v>3.76</v>
      </c>
    </row>
    <row r="25">
      <c r="A25">
        <f>HYPERLINK("https://www.tradingview.com/chart/?symbol=NSE:AUBANK", "AUBANK")</f>
        <v/>
      </c>
      <c r="B25" t="n">
        <v>7708154</v>
      </c>
      <c r="C25" t="n">
        <v>2074429.3</v>
      </c>
      <c r="D25" t="n">
        <v>3.72</v>
      </c>
    </row>
    <row r="26">
      <c r="A26">
        <f>HYPERLINK("https://www.tradingview.com/chart/?symbol=NSE:TATAPOWER", "TATAPOWER")</f>
        <v/>
      </c>
      <c r="B26" t="n">
        <v>9108857</v>
      </c>
      <c r="C26" t="n">
        <v>2514723.3</v>
      </c>
      <c r="D26" t="n">
        <v>3.62</v>
      </c>
    </row>
    <row r="27">
      <c r="A27">
        <f>HYPERLINK("https://www.tradingview.com/chart/?symbol=NSE:LTM", "LTM")</f>
        <v/>
      </c>
      <c r="B27" t="n">
        <v>367385</v>
      </c>
      <c r="C27" t="n">
        <v>103001.125</v>
      </c>
      <c r="D27" t="n">
        <v>3.57</v>
      </c>
    </row>
    <row r="28">
      <c r="A28">
        <f>HYPERLINK("https://www.tradingview.com/chart/?symbol=NSE:OLECTRA", "OLECTRA")</f>
        <v/>
      </c>
      <c r="B28" t="n">
        <v>718563</v>
      </c>
      <c r="C28" t="n">
        <v>202725.2666666667</v>
      </c>
      <c r="D28" t="n">
        <v>3.54</v>
      </c>
    </row>
    <row r="29">
      <c r="A29">
        <f>HYPERLINK("https://www.tradingview.com/chart/?symbol=NSE:ITC", "ITC")</f>
        <v/>
      </c>
      <c r="B29" t="n">
        <v>43890464</v>
      </c>
      <c r="C29" t="n">
        <v>12480862.93333333</v>
      </c>
      <c r="D29" t="n">
        <v>3.52</v>
      </c>
    </row>
    <row r="30">
      <c r="A30">
        <f>HYPERLINK("https://www.tradingview.com/chart/?symbol=NSE:BHARTIHEXA", "BHARTIHEXA")</f>
        <v/>
      </c>
      <c r="B30" t="n">
        <v>251952</v>
      </c>
      <c r="C30" t="n">
        <v>74240.26666666666</v>
      </c>
      <c r="D30" t="n">
        <v>3.39</v>
      </c>
    </row>
    <row r="31">
      <c r="A31">
        <f>HYPERLINK("https://www.tradingview.com/chart/?symbol=NSE:ATHERENERG", "ATHERENERG")</f>
        <v/>
      </c>
      <c r="B31" t="n">
        <v>1879846</v>
      </c>
      <c r="C31" t="n">
        <v>560545</v>
      </c>
      <c r="D31" t="n">
        <v>3.35</v>
      </c>
    </row>
    <row r="32">
      <c r="A32">
        <f>HYPERLINK("https://www.tradingview.com/chart/?symbol=NSE:CRISIL", "CRISIL")</f>
        <v/>
      </c>
      <c r="B32" t="n">
        <v>86027</v>
      </c>
      <c r="C32" t="n">
        <v>25932.56666666667</v>
      </c>
      <c r="D32" t="n">
        <v>3.32</v>
      </c>
    </row>
    <row r="33">
      <c r="A33">
        <f>HYPERLINK("https://www.tradingview.com/chart/?symbol=NSE:NATIONALUM", "NATIONALUM")</f>
        <v/>
      </c>
      <c r="B33" t="n">
        <v>16391243</v>
      </c>
      <c r="C33" t="n">
        <v>4988201.2</v>
      </c>
      <c r="D33" t="n">
        <v>3.29</v>
      </c>
    </row>
    <row r="34">
      <c r="A34">
        <f>HYPERLINK("https://www.tradingview.com/chart/?symbol=NSE:CASTROLIND", "CASTROLIND")</f>
        <v/>
      </c>
      <c r="B34" t="n">
        <v>3415108</v>
      </c>
      <c r="C34" t="n">
        <v>1040866.7</v>
      </c>
      <c r="D34" t="n">
        <v>3.28</v>
      </c>
    </row>
    <row r="35">
      <c r="A35">
        <f>HYPERLINK("https://www.tradingview.com/chart/?symbol=NSE:AIAENG", "AIAENG")</f>
        <v/>
      </c>
      <c r="B35" t="n">
        <v>93405</v>
      </c>
      <c r="C35" t="n">
        <v>29359.76666666667</v>
      </c>
      <c r="D35" t="n">
        <v>3.18</v>
      </c>
    </row>
    <row r="36">
      <c r="A36">
        <f>HYPERLINK("https://www.tradingview.com/chart/?symbol=NSE:UBL", "UBL")</f>
        <v/>
      </c>
      <c r="B36" t="n">
        <v>168861</v>
      </c>
      <c r="C36" t="n">
        <v>54730.23333333333</v>
      </c>
      <c r="D36" t="n">
        <v>3.09</v>
      </c>
    </row>
    <row r="37">
      <c r="A37">
        <f>HYPERLINK("https://www.tradingview.com/chart/?symbol=NSE:ALKEM", "ALKEM")</f>
        <v/>
      </c>
      <c r="B37" t="n">
        <v>217535</v>
      </c>
      <c r="C37" t="n">
        <v>70737.93333333333</v>
      </c>
      <c r="D37" t="n">
        <v>3.08</v>
      </c>
    </row>
    <row r="38">
      <c r="A38">
        <f>HYPERLINK("https://www.tradingview.com/chart/?symbol=NSE:ZFCVINDIA", "ZFCVINDIA")</f>
        <v/>
      </c>
      <c r="B38" t="n">
        <v>27536</v>
      </c>
      <c r="C38" t="n">
        <v>9009.166666666666</v>
      </c>
      <c r="D38" t="n">
        <v>3.06</v>
      </c>
    </row>
    <row r="39">
      <c r="A39">
        <f>HYPERLINK("https://www.tradingview.com/chart/?symbol=NSE:INOXINDIA", "INOXINDIA")</f>
        <v/>
      </c>
      <c r="B39" t="n">
        <v>100417</v>
      </c>
      <c r="C39" t="n">
        <v>32907.2</v>
      </c>
      <c r="D39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2026-03-22T19:04:52Z</dcterms:created>
  <dcterms:modified xsi:type="dcterms:W3CDTF">2026-03-22T19:04:52Z</dcterms:modified>
</cp:coreProperties>
</file>