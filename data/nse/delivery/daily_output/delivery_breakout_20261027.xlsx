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HYPERLINK("https://www.tradingview.com/chart/?symbol=NSE:ACUTAAS","ACUTAAS")</f>
        <v/>
      </c>
      <c r="B2" t="n">
        <v>3793.3</v>
      </c>
      <c r="C2" t="n">
        <v>4746620</v>
      </c>
      <c r="D2" t="n">
        <v>1006521</v>
      </c>
      <c r="E2" t="n">
        <v>21.21</v>
      </c>
      <c r="F2" t="n">
        <v>181528.8333333333</v>
      </c>
      <c r="G2" t="n">
        <v>5.54</v>
      </c>
      <c r="H2" t="n">
        <v>1800.54</v>
      </c>
      <c r="I2" t="n">
        <v>381.8</v>
      </c>
    </row>
    <row r="3">
      <c r="A3">
        <f>HYPERLINK("https://www.tradingview.com/chart/?symbol=NSE:AEQUS","AEQUS")</f>
        <v/>
      </c>
      <c r="B3" t="n">
        <v>219.1</v>
      </c>
      <c r="C3" t="n">
        <v>38715090</v>
      </c>
      <c r="D3" t="n">
        <v>10310802</v>
      </c>
      <c r="E3" t="n">
        <v>26.63</v>
      </c>
      <c r="F3" t="n">
        <v>1969051.033333333</v>
      </c>
      <c r="G3" t="n">
        <v>5.24</v>
      </c>
      <c r="H3" t="n">
        <v>848.25</v>
      </c>
      <c r="I3" t="n">
        <v>225.91</v>
      </c>
    </row>
    <row r="4">
      <c r="A4">
        <f>HYPERLINK("https://www.tradingview.com/chart/?symbol=NSE:AMBUJACEM","AMBUJACEM")</f>
        <v/>
      </c>
      <c r="B4" t="n">
        <v>348.8</v>
      </c>
      <c r="C4" t="n">
        <v>10794063</v>
      </c>
      <c r="D4" t="n">
        <v>6421683</v>
      </c>
      <c r="E4" t="n">
        <v>59.49</v>
      </c>
      <c r="F4" t="n">
        <v>947422.8</v>
      </c>
      <c r="G4" t="n">
        <v>6.78</v>
      </c>
      <c r="H4" t="n">
        <v>376.5</v>
      </c>
      <c r="I4" t="n">
        <v>223.99</v>
      </c>
    </row>
    <row r="5">
      <c r="A5">
        <f>HYPERLINK("https://www.tradingview.com/chart/?symbol=NSE:ONESOURCE","ONESOURCE")</f>
        <v/>
      </c>
      <c r="B5" t="n">
        <v>1589.8</v>
      </c>
      <c r="C5" t="n">
        <v>7803594</v>
      </c>
      <c r="D5" t="n">
        <v>1260882</v>
      </c>
      <c r="E5" t="n">
        <v>16.16</v>
      </c>
      <c r="F5" t="n">
        <v>124911.4</v>
      </c>
      <c r="G5" t="n">
        <v>10.09</v>
      </c>
      <c r="H5" t="n">
        <v>1240.62</v>
      </c>
      <c r="I5" t="n">
        <v>200.46</v>
      </c>
    </row>
    <row r="6">
      <c r="A6">
        <f>HYPERLINK("https://www.tradingview.com/chart/?symbol=NSE:MANIPALHOS","MANIPALHOS")</f>
        <v/>
      </c>
      <c r="B6" t="n">
        <v>638.05</v>
      </c>
      <c r="C6" t="n">
        <v>3128712</v>
      </c>
      <c r="D6" t="n">
        <v>2477021</v>
      </c>
      <c r="E6" t="n">
        <v>79.17</v>
      </c>
      <c r="F6" t="n">
        <v>417212.6333333334</v>
      </c>
      <c r="G6" t="n">
        <v>5.94</v>
      </c>
      <c r="H6" t="n">
        <v>199.63</v>
      </c>
      <c r="I6" t="n">
        <v>158.05</v>
      </c>
    </row>
    <row r="7">
      <c r="A7">
        <f>HYPERLINK("https://www.tradingview.com/chart/?symbol=NSE:ITCHOTELS","ITCHOTELS")</f>
        <v/>
      </c>
      <c r="B7" t="n">
        <v>166.3</v>
      </c>
      <c r="C7" t="n">
        <v>19774211</v>
      </c>
      <c r="D7" t="n">
        <v>7347712</v>
      </c>
      <c r="E7" t="n">
        <v>37.16</v>
      </c>
      <c r="F7" t="n">
        <v>1012309.5</v>
      </c>
      <c r="G7" t="n">
        <v>7.26</v>
      </c>
      <c r="H7" t="n">
        <v>328.85</v>
      </c>
      <c r="I7" t="n">
        <v>122.19</v>
      </c>
    </row>
    <row r="8">
      <c r="A8">
        <f>HYPERLINK("https://www.tradingview.com/chart/?symbol=NSE:KIRLPNU","KIRLPNU")</f>
        <v/>
      </c>
      <c r="B8" t="n">
        <v>535.7</v>
      </c>
      <c r="C8" t="n">
        <v>3558458</v>
      </c>
      <c r="D8" t="n">
        <v>1117400</v>
      </c>
      <c r="E8" t="n">
        <v>31.4</v>
      </c>
      <c r="F8" t="n">
        <v>71318.2</v>
      </c>
      <c r="G8" t="n">
        <v>15.67</v>
      </c>
      <c r="H8" t="n">
        <v>190.63</v>
      </c>
      <c r="I8" t="n">
        <v>59.86</v>
      </c>
    </row>
    <row r="9">
      <c r="A9">
        <f>HYPERLINK("https://www.tradingview.com/chart/?symbol=NSE:HDFCBSE500","HDFCBSE500")</f>
        <v/>
      </c>
      <c r="B9" t="n">
        <v>35.09</v>
      </c>
      <c r="C9" t="n">
        <v>17018303</v>
      </c>
      <c r="D9" t="n">
        <v>15562569</v>
      </c>
      <c r="E9" t="n">
        <v>91.45</v>
      </c>
      <c r="F9" t="n">
        <v>2607185.6</v>
      </c>
      <c r="G9" t="n">
        <v>5.97</v>
      </c>
      <c r="H9" t="n">
        <v>59.72</v>
      </c>
      <c r="I9" t="n">
        <v>54.61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2026-10-27T22:34:15Z</dcterms:created>
  <dcterms:modified xsi:type="dcterms:W3CDTF">2026-10-27T22:34:15Z</dcterms:modified>
</cp:coreProperties>
</file>