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HYPERLINK("https://www.tradingview.com/chart/?symbol=NSE:GALLANTT", "GALLANTT")</f>
        <v/>
      </c>
      <c r="B2" t="n">
        <v>1042739</v>
      </c>
      <c r="C2" t="n">
        <v>81770.56666666667</v>
      </c>
      <c r="D2" t="n">
        <v>12.75</v>
      </c>
    </row>
    <row r="3">
      <c r="A3">
        <f>HYPERLINK("https://www.tradingview.com/chart/?symbol=NSE:GSPL", "GSPL")</f>
        <v/>
      </c>
      <c r="B3" t="n">
        <v>2288901</v>
      </c>
      <c r="C3" t="n">
        <v>432954.7333333333</v>
      </c>
      <c r="D3" t="n">
        <v>5.29</v>
      </c>
    </row>
    <row r="4">
      <c r="A4">
        <f>HYPERLINK("https://www.tradingview.com/chart/?symbol=NSE:PINELABS", "PINELABS")</f>
        <v/>
      </c>
      <c r="B4" t="n">
        <v>3618990</v>
      </c>
      <c r="C4" t="n">
        <v>723494.5333333333</v>
      </c>
      <c r="D4" t="n">
        <v>5</v>
      </c>
    </row>
    <row r="5">
      <c r="A5">
        <f>HYPERLINK("https://www.tradingview.com/chart/?symbol=NSE:TITAGARH", "TITAGARH")</f>
        <v/>
      </c>
      <c r="B5" t="n">
        <v>1412639</v>
      </c>
      <c r="C5" t="n">
        <v>306671.1666666667</v>
      </c>
      <c r="D5" t="n">
        <v>4.61</v>
      </c>
    </row>
    <row r="6">
      <c r="A6">
        <f>HYPERLINK("https://www.tradingview.com/chart/?symbol=NSE:M&amp;MFIN", "M&amp;MFIN")</f>
        <v/>
      </c>
      <c r="B6" t="n">
        <v>2116689</v>
      </c>
      <c r="C6" t="n">
        <v>470108.2631578947</v>
      </c>
      <c r="D6" t="n">
        <v>4.5</v>
      </c>
    </row>
    <row r="7">
      <c r="A7">
        <f>HYPERLINK("https://www.tradingview.com/chart/?symbol=NSE:JUBLFOOD", "JUBLFOOD")</f>
        <v/>
      </c>
      <c r="B7" t="n">
        <v>5793816</v>
      </c>
      <c r="C7" t="n">
        <v>1476500.066666667</v>
      </c>
      <c r="D7" t="n">
        <v>3.92</v>
      </c>
    </row>
    <row r="8">
      <c r="A8">
        <f>HYPERLINK("https://www.tradingview.com/chart/?symbol=NSE:VIJAYA", "VIJAYA")</f>
        <v/>
      </c>
      <c r="B8" t="n">
        <v>249253</v>
      </c>
      <c r="C8" t="n">
        <v>73201.16666666667</v>
      </c>
      <c r="D8" t="n">
        <v>3.41</v>
      </c>
    </row>
    <row r="9">
      <c r="A9">
        <f>HYPERLINK("https://www.tradingview.com/chart/?symbol=NSE:ZFCVINDIA", "ZFCVINDIA")</f>
        <v/>
      </c>
      <c r="B9" t="n">
        <v>31257</v>
      </c>
      <c r="C9" t="n">
        <v>9653.866666666667</v>
      </c>
      <c r="D9" t="n">
        <v>3.24</v>
      </c>
    </row>
    <row r="10">
      <c r="A10">
        <f>HYPERLINK("https://www.tradingview.com/chart/?symbol=NSE:FORCEMOT", "FORCEMOT")</f>
        <v/>
      </c>
      <c r="B10" t="n">
        <v>80552</v>
      </c>
      <c r="C10" t="n">
        <v>25148.06666666667</v>
      </c>
      <c r="D10" t="n">
        <v>3.2</v>
      </c>
    </row>
    <row r="11">
      <c r="A11">
        <f>HYPERLINK("https://www.tradingview.com/chart/?symbol=NSE:CREDITACC", "CREDITACC")</f>
        <v/>
      </c>
      <c r="B11" t="n">
        <v>479147</v>
      </c>
      <c r="C11" t="n">
        <v>153698.8</v>
      </c>
      <c r="D11" t="n">
        <v>3.12</v>
      </c>
    </row>
    <row r="12">
      <c r="A12">
        <f>HYPERLINK("https://www.tradingview.com/chart/?symbol=NSE:CCL", "CCL")</f>
        <v/>
      </c>
      <c r="B12" t="n">
        <v>395679</v>
      </c>
      <c r="C12" t="n">
        <v>130544.7666666667</v>
      </c>
      <c r="D12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2026-04-08T19:48:54Z</dcterms:created>
  <dcterms:modified xsi:type="dcterms:W3CDTF">2026-04-08T19:48:54Z</dcterms:modified>
</cp:coreProperties>
</file>