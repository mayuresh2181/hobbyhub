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HYPERLINK("https://www.tradingview.com/chart/?symbol=NSE:ZENTEC","ZENTEC")</f>
        <v/>
      </c>
      <c r="B2" t="n">
        <v>1982.4</v>
      </c>
      <c r="C2" t="n">
        <v>2742695</v>
      </c>
      <c r="D2" t="n">
        <v>798025</v>
      </c>
      <c r="E2" t="n">
        <v>29.1</v>
      </c>
      <c r="F2" t="n">
        <v>152709.6666666667</v>
      </c>
      <c r="G2" t="n">
        <v>5.23</v>
      </c>
      <c r="H2" t="n">
        <v>543.71</v>
      </c>
      <c r="I2" t="n">
        <v>158.2</v>
      </c>
    </row>
    <row r="3">
      <c r="A3">
        <f>HYPERLINK("https://www.tradingview.com/chart/?symbol=NSE:WELSPUNLIV","WELSPUNLIV")</f>
        <v/>
      </c>
      <c r="B3" t="n">
        <v>177.79</v>
      </c>
      <c r="C3" t="n">
        <v>53708881</v>
      </c>
      <c r="D3" t="n">
        <v>6267251</v>
      </c>
      <c r="E3" t="n">
        <v>11.67</v>
      </c>
      <c r="F3" t="n">
        <v>953719.1333333333</v>
      </c>
      <c r="G3" t="n">
        <v>6.57</v>
      </c>
      <c r="H3" t="n">
        <v>954.89</v>
      </c>
      <c r="I3" t="n">
        <v>111.43</v>
      </c>
    </row>
    <row r="4">
      <c r="A4">
        <f>HYPERLINK("https://www.tradingview.com/chart/?symbol=NSE:ICIL","ICIL")</f>
        <v/>
      </c>
      <c r="B4" t="n">
        <v>437.7</v>
      </c>
      <c r="C4" t="n">
        <v>25217573</v>
      </c>
      <c r="D4" t="n">
        <v>1976027</v>
      </c>
      <c r="E4" t="n">
        <v>7.84</v>
      </c>
      <c r="F4" t="n">
        <v>170565.9333333333</v>
      </c>
      <c r="G4" t="n">
        <v>11.59</v>
      </c>
      <c r="H4" t="n">
        <v>1103.77</v>
      </c>
      <c r="I4" t="n">
        <v>86.48999999999999</v>
      </c>
    </row>
    <row r="5">
      <c r="A5">
        <f>HYPERLINK("https://www.tradingview.com/chart/?symbol=NSE:NEOGEN","NEOGEN")</f>
        <v/>
      </c>
      <c r="B5" t="n">
        <v>2328.5</v>
      </c>
      <c r="C5" t="n">
        <v>1415053</v>
      </c>
      <c r="D5" t="n">
        <v>369844</v>
      </c>
      <c r="E5" t="n">
        <v>26.14</v>
      </c>
      <c r="F5" t="n">
        <v>60658.16666666666</v>
      </c>
      <c r="G5" t="n">
        <v>6.1</v>
      </c>
      <c r="H5" t="n">
        <v>329.5</v>
      </c>
      <c r="I5" t="n">
        <v>86.12</v>
      </c>
    </row>
    <row r="6">
      <c r="A6">
        <f>HYPERLINK("https://www.tradingview.com/chart/?symbol=NSE:ZAGGLE","ZAGGLE")</f>
        <v/>
      </c>
      <c r="B6" t="n">
        <v>165.88</v>
      </c>
      <c r="C6" t="n">
        <v>19851829</v>
      </c>
      <c r="D6" t="n">
        <v>5019413</v>
      </c>
      <c r="E6" t="n">
        <v>25.28</v>
      </c>
      <c r="F6" t="n">
        <v>447727.1666666667</v>
      </c>
      <c r="G6" t="n">
        <v>11.21</v>
      </c>
      <c r="H6" t="n">
        <v>329.3</v>
      </c>
      <c r="I6" t="n">
        <v>83.26000000000001</v>
      </c>
    </row>
    <row r="7">
      <c r="A7">
        <f>HYPERLINK("https://www.tradingview.com/chart/?symbol=NSE:GLAXO","GLAXO")</f>
        <v/>
      </c>
      <c r="B7" t="n">
        <v>2877.4</v>
      </c>
      <c r="C7" t="n">
        <v>477841</v>
      </c>
      <c r="D7" t="n">
        <v>267165</v>
      </c>
      <c r="E7" t="n">
        <v>55.91</v>
      </c>
      <c r="F7" t="n">
        <v>38898.56666666667</v>
      </c>
      <c r="G7" t="n">
        <v>6.87</v>
      </c>
      <c r="H7" t="n">
        <v>137.49</v>
      </c>
      <c r="I7" t="n">
        <v>76.87</v>
      </c>
    </row>
    <row r="8">
      <c r="A8">
        <f>HYPERLINK("https://www.tradingview.com/chart/?symbol=NSE:JINDRILL","JINDRILL")</f>
        <v/>
      </c>
      <c r="B8" t="n">
        <v>651.15</v>
      </c>
      <c r="C8" t="n">
        <v>17885822</v>
      </c>
      <c r="D8" t="n">
        <v>1169518</v>
      </c>
      <c r="E8" t="n">
        <v>6.54</v>
      </c>
      <c r="F8" t="n">
        <v>131742.9666666667</v>
      </c>
      <c r="G8" t="n">
        <v>8.880000000000001</v>
      </c>
      <c r="H8" t="n">
        <v>1164.64</v>
      </c>
      <c r="I8" t="n">
        <v>76.15000000000001</v>
      </c>
    </row>
    <row r="9">
      <c r="A9">
        <f>HYPERLINK("https://www.tradingview.com/chart/?symbol=NSE:ETHOSLTD","ETHOSLTD")</f>
        <v/>
      </c>
      <c r="B9" t="n">
        <v>2892.2</v>
      </c>
      <c r="C9" t="n">
        <v>961244</v>
      </c>
      <c r="D9" t="n">
        <v>261226</v>
      </c>
      <c r="E9" t="n">
        <v>27.18</v>
      </c>
      <c r="F9" t="n">
        <v>43175.53333333333</v>
      </c>
      <c r="G9" t="n">
        <v>6.05</v>
      </c>
      <c r="H9" t="n">
        <v>278.01</v>
      </c>
      <c r="I9" t="n">
        <v>75.55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2026-08-18T19:09:06Z</dcterms:created>
  <dcterms:modified xsi:type="dcterms:W3CDTF">2026-08-18T19:09:06Z</dcterms:modified>
</cp:coreProperties>
</file>