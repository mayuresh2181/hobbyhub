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HYPERLINK("https://www.tradingview.com/chart/?symbol=NSE:CENTRALBK","CENTRALBK")</f>
        <v/>
      </c>
      <c r="B2" t="n">
        <v>66366421</v>
      </c>
      <c r="C2" t="n">
        <v>2154339.413793103</v>
      </c>
      <c r="D2" t="n">
        <v>30.81</v>
      </c>
    </row>
    <row r="3">
      <c r="A3">
        <f>HYPERLINK("https://www.tradingview.com/chart/?symbol=NSE:HONASA","HONASA")</f>
        <v/>
      </c>
      <c r="B3" t="n">
        <v>5247286</v>
      </c>
      <c r="C3" t="n">
        <v>353621.7586206897</v>
      </c>
      <c r="D3" t="n">
        <v>14.84</v>
      </c>
    </row>
    <row r="4">
      <c r="A4">
        <f>HYPERLINK("https://www.tradingview.com/chart/?symbol=NSE:LICI","LICI")</f>
        <v/>
      </c>
      <c r="B4" t="n">
        <v>9387860</v>
      </c>
      <c r="C4" t="n">
        <v>670598.724137931</v>
      </c>
      <c r="D4" t="n">
        <v>14</v>
      </c>
    </row>
    <row r="5">
      <c r="A5">
        <f>HYPERLINK("https://www.tradingview.com/chart/?symbol=NSE:JSWCEMENT","JSWCEMENT")</f>
        <v/>
      </c>
      <c r="B5" t="n">
        <v>8899802</v>
      </c>
      <c r="C5" t="n">
        <v>766624.275862069</v>
      </c>
      <c r="D5" t="n">
        <v>11.61</v>
      </c>
    </row>
    <row r="6">
      <c r="A6">
        <f>HYPERLINK("https://www.tradingview.com/chart/?symbol=NSE:PREMIERENE","PREMIERENE")</f>
        <v/>
      </c>
      <c r="B6" t="n">
        <v>5982900</v>
      </c>
      <c r="C6" t="n">
        <v>677337.551724138</v>
      </c>
      <c r="D6" t="n">
        <v>8.83</v>
      </c>
    </row>
    <row r="7">
      <c r="A7">
        <f>HYPERLINK("https://www.tradingview.com/chart/?symbol=NSE:PINELABS","PINELABS")</f>
        <v/>
      </c>
      <c r="B7" t="n">
        <v>16120529</v>
      </c>
      <c r="C7" t="n">
        <v>2314173.586206897</v>
      </c>
      <c r="D7" t="n">
        <v>6.97</v>
      </c>
    </row>
    <row r="8">
      <c r="A8">
        <f>HYPERLINK("https://www.tradingview.com/chart/?symbol=NSE:MAXHEALTH","MAXHEALTH")</f>
        <v/>
      </c>
      <c r="B8" t="n">
        <v>5206917</v>
      </c>
      <c r="C8" t="n">
        <v>1052362.379310345</v>
      </c>
      <c r="D8" t="n">
        <v>4.95</v>
      </c>
    </row>
    <row r="9">
      <c r="A9">
        <f>HYPERLINK("https://www.tradingview.com/chart/?symbol=NSE:NYKAA","NYKAA")</f>
        <v/>
      </c>
      <c r="B9" t="n">
        <v>7991973</v>
      </c>
      <c r="C9" t="n">
        <v>1880405.413793104</v>
      </c>
      <c r="D9" t="n">
        <v>4.25</v>
      </c>
    </row>
    <row r="10">
      <c r="A10">
        <f>HYPERLINK("https://www.tradingview.com/chart/?symbol=NSE:TRAVELFOOD","TRAVELFOOD")</f>
        <v/>
      </c>
      <c r="B10" t="n">
        <v>90684</v>
      </c>
      <c r="C10" t="n">
        <v>24291.24137931034</v>
      </c>
      <c r="D10" t="n">
        <v>3.73</v>
      </c>
    </row>
    <row r="11">
      <c r="A11">
        <f>HYPERLINK("https://www.tradingview.com/chart/?symbol=NSE:DEEPAKFERT","DEEPAKFERT")</f>
        <v/>
      </c>
      <c r="B11" t="n">
        <v>574977</v>
      </c>
      <c r="C11" t="n">
        <v>160833.8620689655</v>
      </c>
      <c r="D11" t="n">
        <v>3.57</v>
      </c>
    </row>
    <row r="12">
      <c r="A12">
        <f>HYPERLINK("https://www.tradingview.com/chart/?symbol=NSE:TATACOMM","TATACOMM")</f>
        <v/>
      </c>
      <c r="B12" t="n">
        <v>985817</v>
      </c>
      <c r="C12" t="n">
        <v>282856.8965517241</v>
      </c>
      <c r="D12" t="n">
        <v>3.49</v>
      </c>
    </row>
    <row r="13">
      <c r="A13">
        <f>HYPERLINK("https://www.tradingview.com/chart/?symbol=NSE:SUNTV","SUNTV")</f>
        <v/>
      </c>
      <c r="B13" t="n">
        <v>488275</v>
      </c>
      <c r="C13" t="n">
        <v>140820.1724137931</v>
      </c>
      <c r="D13" t="n">
        <v>3.47</v>
      </c>
    </row>
    <row r="14">
      <c r="A14">
        <f>HYPERLINK("https://www.tradingview.com/chart/?symbol=NSE:3MINDIA","3MINDIA")</f>
        <v/>
      </c>
      <c r="B14" t="n">
        <v>6123</v>
      </c>
      <c r="C14" t="n">
        <v>1919.103448275862</v>
      </c>
      <c r="D14" t="n">
        <v>3.19</v>
      </c>
    </row>
    <row r="15">
      <c r="A15">
        <f>HYPERLINK("https://www.tradingview.com/chart/?symbol=NSE:MINDACORP","MINDACORP")</f>
        <v/>
      </c>
      <c r="B15" t="n">
        <v>613158</v>
      </c>
      <c r="C15" t="n">
        <v>198777.8620689655</v>
      </c>
      <c r="D15" t="n">
        <v>3.08</v>
      </c>
    </row>
    <row r="16">
      <c r="A16">
        <f>HYPERLINK("https://www.tradingview.com/chart/?symbol=NSE:GLAXO","GLAXO")</f>
        <v/>
      </c>
      <c r="B16" t="n">
        <v>134590</v>
      </c>
      <c r="C16" t="n">
        <v>44658.24137931035</v>
      </c>
      <c r="D16" t="n">
        <v>3.01</v>
      </c>
    </row>
    <row r="17">
      <c r="A17">
        <f>HYPERLINK("https://www.tradingview.com/chart/?symbol=NSE:NIVABUPA","NIVABUPA")</f>
        <v/>
      </c>
      <c r="B17" t="n">
        <v>3117980</v>
      </c>
      <c r="C17" t="n">
        <v>1037522.896551724</v>
      </c>
      <c r="D17" t="n">
        <v>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2026-05-24T19:48:18Z</dcterms:created>
  <dcterms:modified xsi:type="dcterms:W3CDTF">2026-05-24T19:48:18Z</dcterms:modified>
</cp:coreProperties>
</file>