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HYPERLINK("https://www.tradingview.com/chart/?symbol=NSE:CREDITACC", "CREDITACC")</f>
        <v/>
      </c>
      <c r="B2" t="n">
        <v>1355413</v>
      </c>
      <c r="C2" t="n">
        <v>199423.5</v>
      </c>
      <c r="D2" t="n">
        <v>6.8</v>
      </c>
    </row>
    <row r="3">
      <c r="A3">
        <f>HYPERLINK("https://www.tradingview.com/chart/?symbol=NSE:APOLLOTYRE", "APOLLOTYRE")</f>
        <v/>
      </c>
      <c r="B3" t="n">
        <v>2862829</v>
      </c>
      <c r="C3" t="n">
        <v>466978.4666666667</v>
      </c>
      <c r="D3" t="n">
        <v>6.13</v>
      </c>
    </row>
    <row r="4">
      <c r="A4">
        <f>HYPERLINK("https://www.tradingview.com/chart/?symbol=NSE:TITAGARH", "TITAGARH")</f>
        <v/>
      </c>
      <c r="B4" t="n">
        <v>1932312</v>
      </c>
      <c r="C4" t="n">
        <v>401784.6333333334</v>
      </c>
      <c r="D4" t="n">
        <v>4.81</v>
      </c>
    </row>
    <row r="5">
      <c r="A5">
        <f>HYPERLINK("https://www.tradingview.com/chart/?symbol=NSE:WOCKPHARMA", "WOCKPHARMA")</f>
        <v/>
      </c>
      <c r="B5" t="n">
        <v>1502176</v>
      </c>
      <c r="C5" t="n">
        <v>319214.7666666667</v>
      </c>
      <c r="D5" t="n">
        <v>4.71</v>
      </c>
    </row>
    <row r="6">
      <c r="A6">
        <f>HYPERLINK("https://www.tradingview.com/chart/?symbol=NSE:TATATECH", "TATATECH")</f>
        <v/>
      </c>
      <c r="B6" t="n">
        <v>2471413</v>
      </c>
      <c r="C6" t="n">
        <v>539146.1</v>
      </c>
      <c r="D6" t="n">
        <v>4.58</v>
      </c>
    </row>
    <row r="7">
      <c r="A7">
        <f>HYPERLINK("https://www.tradingview.com/chart/?symbol=NSE:KPIL", "KPIL")</f>
        <v/>
      </c>
      <c r="B7" t="n">
        <v>346680</v>
      </c>
      <c r="C7" t="n">
        <v>88101.89999999999</v>
      </c>
      <c r="D7" t="n">
        <v>3.93</v>
      </c>
    </row>
    <row r="8">
      <c r="A8">
        <f>HYPERLINK("https://www.tradingview.com/chart/?symbol=NSE:SOBHA", "SOBHA")</f>
        <v/>
      </c>
      <c r="B8" t="n">
        <v>291831</v>
      </c>
      <c r="C8" t="n">
        <v>78849.26666666666</v>
      </c>
      <c r="D8" t="n">
        <v>3.7</v>
      </c>
    </row>
    <row r="9">
      <c r="A9">
        <f>HYPERLINK("https://www.tradingview.com/chart/?symbol=NSE:MEESHO", "MEESHO")</f>
        <v/>
      </c>
      <c r="B9" t="n">
        <v>14739032</v>
      </c>
      <c r="C9" t="n">
        <v>4167334.266666667</v>
      </c>
      <c r="D9" t="n">
        <v>3.54</v>
      </c>
    </row>
    <row r="10">
      <c r="A10">
        <f>HYPERLINK("https://www.tradingview.com/chart/?symbol=NSE:CAMS", "CAMS")</f>
        <v/>
      </c>
      <c r="B10" t="n">
        <v>2441923</v>
      </c>
      <c r="C10" t="n">
        <v>737028.6</v>
      </c>
      <c r="D10" t="n">
        <v>3.31</v>
      </c>
    </row>
    <row r="11">
      <c r="A11">
        <f>HYPERLINK("https://www.tradingview.com/chart/?symbol=NSE:SUMICHEM", "SUMICHEM")</f>
        <v/>
      </c>
      <c r="B11" t="n">
        <v>419906</v>
      </c>
      <c r="C11" t="n">
        <v>127723.4666666667</v>
      </c>
      <c r="D11" t="n">
        <v>3.29</v>
      </c>
    </row>
    <row r="12">
      <c r="A12">
        <f>HYPERLINK("https://www.tradingview.com/chart/?symbol=NSE:GABRIEL", "GABRIEL")</f>
        <v/>
      </c>
      <c r="B12" t="n">
        <v>619423</v>
      </c>
      <c r="C12" t="n">
        <v>189533.9333333333</v>
      </c>
      <c r="D12" t="n">
        <v>3.27</v>
      </c>
    </row>
    <row r="13">
      <c r="A13">
        <f>HYPERLINK("https://www.tradingview.com/chart/?symbol=NSE:LAURUSLABS", "LAURUSLABS")</f>
        <v/>
      </c>
      <c r="B13" t="n">
        <v>3273957</v>
      </c>
      <c r="C13" t="n">
        <v>1069493.8</v>
      </c>
      <c r="D13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2026-05-06T20:11:58Z</dcterms:created>
  <dcterms:modified xsi:type="dcterms:W3CDTF">2026-05-06T20:11:58Z</dcterms:modified>
</cp:coreProperties>
</file>