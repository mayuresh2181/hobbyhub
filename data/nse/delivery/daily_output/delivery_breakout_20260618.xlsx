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HYPERLINK("https://www.tradingview.com/chart/?symbol=NSE:BATAINDIA","BATAINDIA")</f>
        <v/>
      </c>
      <c r="B2" t="n">
        <v>1170173</v>
      </c>
      <c r="C2" t="n">
        <v>58034.75862068965</v>
      </c>
      <c r="D2" t="n">
        <v>20.16</v>
      </c>
    </row>
    <row r="3">
      <c r="A3">
        <f>HYPERLINK("https://www.tradingview.com/chart/?symbol=NSE:NIACL","NIACL")</f>
        <v/>
      </c>
      <c r="B3" t="n">
        <v>3846425</v>
      </c>
      <c r="C3" t="n">
        <v>272056.6551724138</v>
      </c>
      <c r="D3" t="n">
        <v>14.14</v>
      </c>
    </row>
    <row r="4">
      <c r="A4">
        <f>HYPERLINK("https://www.tradingview.com/chart/?symbol=NSE:DEVYANI","DEVYANI")</f>
        <v/>
      </c>
      <c r="B4" t="n">
        <v>6778629</v>
      </c>
      <c r="C4" t="n">
        <v>926856.2068965518</v>
      </c>
      <c r="D4" t="n">
        <v>7.31</v>
      </c>
    </row>
    <row r="5">
      <c r="A5">
        <f>HYPERLINK("https://www.tradingview.com/chart/?symbol=NSE:KPRMILL","KPRMILL")</f>
        <v/>
      </c>
      <c r="B5" t="n">
        <v>976991</v>
      </c>
      <c r="C5" t="n">
        <v>137050.6206896552</v>
      </c>
      <c r="D5" t="n">
        <v>7.13</v>
      </c>
    </row>
    <row r="6">
      <c r="A6">
        <f>HYPERLINK("https://www.tradingview.com/chart/?symbol=NSE:EMCURE","EMCURE")</f>
        <v/>
      </c>
      <c r="B6" t="n">
        <v>437447</v>
      </c>
      <c r="C6" t="n">
        <v>76812.58620689655</v>
      </c>
      <c r="D6" t="n">
        <v>5.69</v>
      </c>
    </row>
    <row r="7">
      <c r="A7">
        <f>HYPERLINK("https://www.tradingview.com/chart/?symbol=NSE:WELSPUNLIV","WELSPUNLIV")</f>
        <v/>
      </c>
      <c r="B7" t="n">
        <v>4873756</v>
      </c>
      <c r="C7" t="n">
        <v>928510.4827586206</v>
      </c>
      <c r="D7" t="n">
        <v>5.25</v>
      </c>
    </row>
    <row r="8">
      <c r="A8">
        <f>HYPERLINK("https://www.tradingview.com/chart/?symbol=NSE:STARHEALTH","STARHEALTH")</f>
        <v/>
      </c>
      <c r="B8" t="n">
        <v>1585686</v>
      </c>
      <c r="C8" t="n">
        <v>312679.3103448276</v>
      </c>
      <c r="D8" t="n">
        <v>5.07</v>
      </c>
    </row>
    <row r="9">
      <c r="A9">
        <f>HYPERLINK("https://www.tradingview.com/chart/?symbol=NSE:GICRE","GICRE")</f>
        <v/>
      </c>
      <c r="B9" t="n">
        <v>2314690</v>
      </c>
      <c r="C9" t="n">
        <v>475608.1724137931</v>
      </c>
      <c r="D9" t="n">
        <v>4.87</v>
      </c>
    </row>
    <row r="10">
      <c r="A10">
        <f>HYPERLINK("https://www.tradingview.com/chart/?symbol=NSE:OLECTRA","OLECTRA")</f>
        <v/>
      </c>
      <c r="B10" t="n">
        <v>1082466</v>
      </c>
      <c r="C10" t="n">
        <v>265406.3448275862</v>
      </c>
      <c r="D10" t="n">
        <v>4.08</v>
      </c>
    </row>
    <row r="11">
      <c r="A11">
        <f>HYPERLINK("https://www.tradingview.com/chart/?symbol=NSE:NYKAA","NYKAA")</f>
        <v/>
      </c>
      <c r="B11" t="n">
        <v>13344228</v>
      </c>
      <c r="C11" t="n">
        <v>3325281.551724138</v>
      </c>
      <c r="D11" t="n">
        <v>4.01</v>
      </c>
    </row>
    <row r="12">
      <c r="A12">
        <f>HYPERLINK("https://www.tradingview.com/chart/?symbol=NSE:IDBI","IDBI")</f>
        <v/>
      </c>
      <c r="B12" t="n">
        <v>15523932</v>
      </c>
      <c r="C12" t="n">
        <v>3951290.448275862</v>
      </c>
      <c r="D12" t="n">
        <v>3.93</v>
      </c>
    </row>
    <row r="13">
      <c r="A13">
        <f>HYPERLINK("https://www.tradingview.com/chart/?symbol=NSE:CDSL","CDSL")</f>
        <v/>
      </c>
      <c r="B13" t="n">
        <v>2740421</v>
      </c>
      <c r="C13" t="n">
        <v>699055.5862068966</v>
      </c>
      <c r="D13" t="n">
        <v>3.92</v>
      </c>
    </row>
    <row r="14">
      <c r="A14">
        <f>HYPERLINK("https://www.tradingview.com/chart/?symbol=NSE:UTIAMC","UTIAMC")</f>
        <v/>
      </c>
      <c r="B14" t="n">
        <v>149127</v>
      </c>
      <c r="C14" t="n">
        <v>41583.03448275862</v>
      </c>
      <c r="D14" t="n">
        <v>3.59</v>
      </c>
    </row>
    <row r="15">
      <c r="A15">
        <f>HYPERLINK("https://www.tradingview.com/chart/?symbol=NSE:FLUOROCHEM","FLUOROCHEM")</f>
        <v/>
      </c>
      <c r="B15" t="n">
        <v>179378</v>
      </c>
      <c r="C15" t="n">
        <v>51142.20689655172</v>
      </c>
      <c r="D15" t="n">
        <v>3.51</v>
      </c>
    </row>
    <row r="16">
      <c r="A16">
        <f>HYPERLINK("https://www.tradingview.com/chart/?symbol=NSE:REDINGTON","REDINGTON")</f>
        <v/>
      </c>
      <c r="B16" t="n">
        <v>5365725</v>
      </c>
      <c r="C16" t="n">
        <v>1577810.551724138</v>
      </c>
      <c r="D16" t="n">
        <v>3.4</v>
      </c>
    </row>
    <row r="17">
      <c r="A17">
        <f>HYPERLINK("https://www.tradingview.com/chart/?symbol=NSE:RADICO","RADICO")</f>
        <v/>
      </c>
      <c r="B17" t="n">
        <v>558940</v>
      </c>
      <c r="C17" t="n">
        <v>165586.3793103448</v>
      </c>
      <c r="D17" t="n">
        <v>3.38</v>
      </c>
    </row>
    <row r="18">
      <c r="A18">
        <f>HYPERLINK("https://www.tradingview.com/chart/?symbol=NSE:FIVESTAR","FIVESTAR")</f>
        <v/>
      </c>
      <c r="B18" t="n">
        <v>1609222</v>
      </c>
      <c r="C18" t="n">
        <v>478230.6551724138</v>
      </c>
      <c r="D18" t="n">
        <v>3.36</v>
      </c>
    </row>
    <row r="19">
      <c r="A19">
        <f>HYPERLINK("https://www.tradingview.com/chart/?symbol=NSE:BHARTIHEXA","BHARTIHEXA")</f>
        <v/>
      </c>
      <c r="B19" t="n">
        <v>184704</v>
      </c>
      <c r="C19" t="n">
        <v>55893.20689655172</v>
      </c>
      <c r="D19" t="n">
        <v>3.3</v>
      </c>
    </row>
    <row r="20">
      <c r="A20">
        <f>HYPERLINK("https://www.tradingview.com/chart/?symbol=NSE:INDIAMART","INDIAMART")</f>
        <v/>
      </c>
      <c r="B20" t="n">
        <v>151504</v>
      </c>
      <c r="C20" t="n">
        <v>46216.51724137931</v>
      </c>
      <c r="D20" t="n">
        <v>3.28</v>
      </c>
    </row>
    <row r="21">
      <c r="A21">
        <f>HYPERLINK("https://www.tradingview.com/chart/?symbol=NSE:IFCI","IFCI")</f>
        <v/>
      </c>
      <c r="B21" t="n">
        <v>48593451</v>
      </c>
      <c r="C21" t="n">
        <v>14909903.17241379</v>
      </c>
      <c r="D21" t="n">
        <v>3.26</v>
      </c>
    </row>
    <row r="22">
      <c r="A22">
        <f>HYPERLINK("https://www.tradingview.com/chart/?symbol=NSE:VTL","VTL")</f>
        <v/>
      </c>
      <c r="B22" t="n">
        <v>469918</v>
      </c>
      <c r="C22" t="n">
        <v>153221.3793103448</v>
      </c>
      <c r="D22" t="n">
        <v>3.07</v>
      </c>
    </row>
    <row r="23">
      <c r="A23">
        <f>HYPERLINK("https://www.tradingview.com/chart/?symbol=NSE:ITI","ITI")</f>
        <v/>
      </c>
      <c r="B23" t="n">
        <v>514616</v>
      </c>
      <c r="C23" t="n">
        <v>169876.8275862069</v>
      </c>
      <c r="D23" t="n">
        <v>3.03</v>
      </c>
    </row>
    <row r="24">
      <c r="A24">
        <f>HYPERLINK("https://www.tradingview.com/chart/?symbol=NSE:DLF","DLF")</f>
        <v/>
      </c>
      <c r="B24" t="n">
        <v>5622960</v>
      </c>
      <c r="C24" t="n">
        <v>1862219.310344828</v>
      </c>
      <c r="D24" t="n">
        <v>3.02</v>
      </c>
    </row>
    <row r="25">
      <c r="A25">
        <f>HYPERLINK("https://www.tradingview.com/chart/?symbol=NSE:TRENT","TRENT")</f>
        <v/>
      </c>
      <c r="B25" t="n">
        <v>1145697</v>
      </c>
      <c r="C25" t="n">
        <v>379682</v>
      </c>
      <c r="D25" t="n">
        <v>3.02</v>
      </c>
    </row>
    <row r="26">
      <c r="A26">
        <f>HYPERLINK("https://www.tradingview.com/chart/?symbol=NSE:NIVABUPA","NIVABUPA")</f>
        <v/>
      </c>
      <c r="B26" t="n">
        <v>4013389</v>
      </c>
      <c r="C26" t="n">
        <v>1339056.172413793</v>
      </c>
      <c r="D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2026-06-19T20:18:39Z</dcterms:created>
  <dcterms:modified xsi:type="dcterms:W3CDTF">2026-06-19T20:18:39Z</dcterms:modified>
</cp:coreProperties>
</file>