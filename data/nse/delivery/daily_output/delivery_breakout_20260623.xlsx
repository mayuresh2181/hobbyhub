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HYPERLINK("https://www.tradingview.com/chart/?symbol=NSE:VEDL","VEDL")</f>
        <v/>
      </c>
      <c r="B2" t="n">
        <v>80973416</v>
      </c>
      <c r="C2" t="n">
        <v>9368194.27586207</v>
      </c>
      <c r="D2" t="n">
        <v>8.640000000000001</v>
      </c>
    </row>
    <row r="3">
      <c r="A3">
        <f>HYPERLINK("https://www.tradingview.com/chart/?symbol=NSE:KIRLOSENG","KIRLOSENG")</f>
        <v/>
      </c>
      <c r="B3" t="n">
        <v>1752572</v>
      </c>
      <c r="C3" t="n">
        <v>217669.5172413793</v>
      </c>
      <c r="D3" t="n">
        <v>8.050000000000001</v>
      </c>
    </row>
    <row r="4">
      <c r="A4">
        <f>HYPERLINK("https://www.tradingview.com/chart/?symbol=NSE:EMAMILTD","EMAMILTD")</f>
        <v/>
      </c>
      <c r="B4" t="n">
        <v>1661022</v>
      </c>
      <c r="C4" t="n">
        <v>238511.6896551724</v>
      </c>
      <c r="D4" t="n">
        <v>6.96</v>
      </c>
    </row>
    <row r="5">
      <c r="A5">
        <f>HYPERLINK("https://www.tradingview.com/chart/?symbol=NSE:PPLPHARMA","PPLPHARMA")</f>
        <v/>
      </c>
      <c r="B5" t="n">
        <v>8508589</v>
      </c>
      <c r="C5" t="n">
        <v>1249395.448275862</v>
      </c>
      <c r="D5" t="n">
        <v>6.81</v>
      </c>
    </row>
    <row r="6">
      <c r="A6">
        <f>HYPERLINK("https://www.tradingview.com/chart/?symbol=NSE:ZFCVINDIA","ZFCVINDIA")</f>
        <v/>
      </c>
      <c r="B6" t="n">
        <v>63802</v>
      </c>
      <c r="C6" t="n">
        <v>9977.48275862069</v>
      </c>
      <c r="D6" t="n">
        <v>6.39</v>
      </c>
    </row>
    <row r="7">
      <c r="A7">
        <f>HYPERLINK("https://www.tradingview.com/chart/?symbol=NSE:COHANCE","COHANCE")</f>
        <v/>
      </c>
      <c r="B7" t="n">
        <v>2714249</v>
      </c>
      <c r="C7" t="n">
        <v>451012.5862068966</v>
      </c>
      <c r="D7" t="n">
        <v>6.02</v>
      </c>
    </row>
    <row r="8">
      <c r="A8">
        <f>HYPERLINK("https://www.tradingview.com/chart/?symbol=NSE:JSWINFRA","JSWINFRA")</f>
        <v/>
      </c>
      <c r="B8" t="n">
        <v>6964847</v>
      </c>
      <c r="C8" t="n">
        <v>1295867.517241379</v>
      </c>
      <c r="D8" t="n">
        <v>5.37</v>
      </c>
    </row>
    <row r="9">
      <c r="A9">
        <f>HYPERLINK("https://www.tradingview.com/chart/?symbol=NSE:NIACL","NIACL")</f>
        <v/>
      </c>
      <c r="B9" t="n">
        <v>3214662</v>
      </c>
      <c r="C9" t="n">
        <v>714085.5172413794</v>
      </c>
      <c r="D9" t="n">
        <v>4.5</v>
      </c>
    </row>
    <row r="10">
      <c r="A10">
        <f>HYPERLINK("https://www.tradingview.com/chart/?symbol=NSE:BHARTIHEXA","BHARTIHEXA")</f>
        <v/>
      </c>
      <c r="B10" t="n">
        <v>308925</v>
      </c>
      <c r="C10" t="n">
        <v>72417.68965517242</v>
      </c>
      <c r="D10" t="n">
        <v>4.27</v>
      </c>
    </row>
    <row r="11">
      <c r="A11">
        <f>HYPERLINK("https://www.tradingview.com/chart/?symbol=NSE:SBFC","SBFC")</f>
        <v/>
      </c>
      <c r="B11" t="n">
        <v>2099719</v>
      </c>
      <c r="C11" t="n">
        <v>497972.6896551724</v>
      </c>
      <c r="D11" t="n">
        <v>4.22</v>
      </c>
    </row>
    <row r="12">
      <c r="A12">
        <f>HYPERLINK("https://www.tradingview.com/chart/?symbol=NSE:ABBOTINDIA","ABBOTINDIA")</f>
        <v/>
      </c>
      <c r="B12" t="n">
        <v>15599</v>
      </c>
      <c r="C12" t="n">
        <v>4625.275862068966</v>
      </c>
      <c r="D12" t="n">
        <v>3.37</v>
      </c>
    </row>
    <row r="13">
      <c r="A13">
        <f>HYPERLINK("https://www.tradingview.com/chart/?symbol=NSE:NEULANDLAB","NEULANDLAB")</f>
        <v/>
      </c>
      <c r="B13" t="n">
        <v>64793</v>
      </c>
      <c r="C13" t="n">
        <v>21000.55172413793</v>
      </c>
      <c r="D13" t="n">
        <v>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2026-06-24T20:21:03Z</dcterms:created>
  <dcterms:modified xsi:type="dcterms:W3CDTF">2026-06-24T20:21:03Z</dcterms:modified>
</cp:coreProperties>
</file>