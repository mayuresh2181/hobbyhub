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HYPERLINK("https://www.tradingview.com/chart/?symbol=NSE:LENSKART", "LENSKART")</f>
        <v/>
      </c>
      <c r="B2" t="n">
        <v>27706287</v>
      </c>
      <c r="C2" t="n">
        <v>2146457.933333333</v>
      </c>
      <c r="D2" t="n">
        <v>12.91</v>
      </c>
    </row>
    <row r="3">
      <c r="A3">
        <f>HYPERLINK("https://www.tradingview.com/chart/?symbol=NSE:CRAFTSMAN", "CRAFTSMAN")</f>
        <v/>
      </c>
      <c r="B3" t="n">
        <v>238555</v>
      </c>
      <c r="C3" t="n">
        <v>27674</v>
      </c>
      <c r="D3" t="n">
        <v>8.619999999999999</v>
      </c>
    </row>
    <row r="4">
      <c r="A4">
        <f>HYPERLINK("https://www.tradingview.com/chart/?symbol=NSE:BRITANNIA", "BRITANNIA")</f>
        <v/>
      </c>
      <c r="B4" t="n">
        <v>1742561</v>
      </c>
      <c r="C4" t="n">
        <v>292930.6</v>
      </c>
      <c r="D4" t="n">
        <v>5.95</v>
      </c>
    </row>
    <row r="5">
      <c r="A5">
        <f>HYPERLINK("https://www.tradingview.com/chart/?symbol=NSE:DALBHARAT", "DALBHARAT")</f>
        <v/>
      </c>
      <c r="B5" t="n">
        <v>789472</v>
      </c>
      <c r="C5" t="n">
        <v>143596.5666666667</v>
      </c>
      <c r="D5" t="n">
        <v>5.5</v>
      </c>
    </row>
    <row r="6">
      <c r="A6">
        <f>HYPERLINK("https://www.tradingview.com/chart/?symbol=NSE:ACE", "ACE")</f>
        <v/>
      </c>
      <c r="B6" t="n">
        <v>1011209</v>
      </c>
      <c r="C6" t="n">
        <v>185293.5666666667</v>
      </c>
      <c r="D6" t="n">
        <v>5.46</v>
      </c>
    </row>
    <row r="7">
      <c r="A7">
        <f>HYPERLINK("https://www.tradingview.com/chart/?symbol=NSE:RAINBOW", "RAINBOW")</f>
        <v/>
      </c>
      <c r="B7" t="n">
        <v>564831</v>
      </c>
      <c r="C7" t="n">
        <v>109937.7</v>
      </c>
      <c r="D7" t="n">
        <v>5.14</v>
      </c>
    </row>
    <row r="8">
      <c r="A8">
        <f>HYPERLINK("https://www.tradingview.com/chart/?symbol=NSE:SONATSOFTW", "SONATSOFTW")</f>
        <v/>
      </c>
      <c r="B8" t="n">
        <v>1745245</v>
      </c>
      <c r="C8" t="n">
        <v>342045.8333333333</v>
      </c>
      <c r="D8" t="n">
        <v>5.1</v>
      </c>
    </row>
    <row r="9">
      <c r="A9">
        <f>HYPERLINK("https://www.tradingview.com/chart/?symbol=NSE:FSL", "FSL")</f>
        <v/>
      </c>
      <c r="B9" t="n">
        <v>5647413</v>
      </c>
      <c r="C9" t="n">
        <v>1130518.1</v>
      </c>
      <c r="D9" t="n">
        <v>5</v>
      </c>
    </row>
    <row r="10">
      <c r="A10">
        <f>HYPERLINK("https://www.tradingview.com/chart/?symbol=NSE:NUVAMA", "NUVAMA")</f>
        <v/>
      </c>
      <c r="B10" t="n">
        <v>1122704</v>
      </c>
      <c r="C10" t="n">
        <v>236282.2333333333</v>
      </c>
      <c r="D10" t="n">
        <v>4.75</v>
      </c>
    </row>
    <row r="11">
      <c r="A11">
        <f>HYPERLINK("https://www.tradingview.com/chart/?symbol=NSE:THERMAX", "THERMAX")</f>
        <v/>
      </c>
      <c r="B11" t="n">
        <v>547941</v>
      </c>
      <c r="C11" t="n">
        <v>129631.1333333333</v>
      </c>
      <c r="D11" t="n">
        <v>4.23</v>
      </c>
    </row>
    <row r="12">
      <c r="A12">
        <f>HYPERLINK("https://www.tradingview.com/chart/?symbol=NSE:BERGEPAINT", "BERGEPAINT")</f>
        <v/>
      </c>
      <c r="B12" t="n">
        <v>501591</v>
      </c>
      <c r="C12" t="n">
        <v>123990.1</v>
      </c>
      <c r="D12" t="n">
        <v>4.05</v>
      </c>
    </row>
    <row r="13">
      <c r="A13">
        <f>HYPERLINK("https://www.tradingview.com/chart/?symbol=NSE:JAINREC", "JAINREC")</f>
        <v/>
      </c>
      <c r="B13" t="n">
        <v>2476790</v>
      </c>
      <c r="C13" t="n">
        <v>637786.1333333333</v>
      </c>
      <c r="D13" t="n">
        <v>3.88</v>
      </c>
    </row>
    <row r="14">
      <c r="A14">
        <f>HYPERLINK("https://www.tradingview.com/chart/?symbol=NSE:ACMESOLAR", "ACMESOLAR")</f>
        <v/>
      </c>
      <c r="B14" t="n">
        <v>2808479</v>
      </c>
      <c r="C14" t="n">
        <v>747224.5666666667</v>
      </c>
      <c r="D14" t="n">
        <v>3.76</v>
      </c>
    </row>
    <row r="15">
      <c r="A15">
        <f>HYPERLINK("https://www.tradingview.com/chart/?symbol=NSE:MRPL", "MRPL")</f>
        <v/>
      </c>
      <c r="B15" t="n">
        <v>8876573</v>
      </c>
      <c r="C15" t="n">
        <v>2442507.933333333</v>
      </c>
      <c r="D15" t="n">
        <v>3.63</v>
      </c>
    </row>
    <row r="16">
      <c r="A16">
        <f>HYPERLINK("https://www.tradingview.com/chart/?symbol=NSE:CHOICEIN", "CHOICEIN")</f>
        <v/>
      </c>
      <c r="B16" t="n">
        <v>778722</v>
      </c>
      <c r="C16" t="n">
        <v>215399.2</v>
      </c>
      <c r="D16" t="n">
        <v>3.62</v>
      </c>
    </row>
    <row r="17">
      <c r="A17">
        <f>HYPERLINK("https://www.tradingview.com/chart/?symbol=NSE:AIIL", "AIIL")</f>
        <v/>
      </c>
      <c r="B17" t="n">
        <v>664098</v>
      </c>
      <c r="C17" t="n">
        <v>184253.6333333333</v>
      </c>
      <c r="D17" t="n">
        <v>3.6</v>
      </c>
    </row>
    <row r="18">
      <c r="A18">
        <f>HYPERLINK("https://www.tradingview.com/chart/?symbol=NSE:INTELLECT", "INTELLECT")</f>
        <v/>
      </c>
      <c r="B18" t="n">
        <v>976992</v>
      </c>
      <c r="C18" t="n">
        <v>276751.1</v>
      </c>
      <c r="D18" t="n">
        <v>3.53</v>
      </c>
    </row>
    <row r="19">
      <c r="A19">
        <f>HYPERLINK("https://www.tradingview.com/chart/?symbol=NSE:NBCC", "NBCC")</f>
        <v/>
      </c>
      <c r="B19" t="n">
        <v>12267767</v>
      </c>
      <c r="C19" t="n">
        <v>3477069.1</v>
      </c>
      <c r="D19" t="n">
        <v>3.53</v>
      </c>
    </row>
    <row r="20">
      <c r="A20">
        <f>HYPERLINK("https://www.tradingview.com/chart/?symbol=NSE:NIVABUPA", "NIVABUPA")</f>
        <v/>
      </c>
      <c r="B20" t="n">
        <v>1552811</v>
      </c>
      <c r="C20" t="n">
        <v>443103.3</v>
      </c>
      <c r="D20" t="n">
        <v>3.5</v>
      </c>
    </row>
    <row r="21">
      <c r="A21">
        <f>HYPERLINK("https://www.tradingview.com/chart/?symbol=NSE:ABSLAMC", "ABSLAMC")</f>
        <v/>
      </c>
      <c r="B21" t="n">
        <v>882867</v>
      </c>
      <c r="C21" t="n">
        <v>277267.9666666667</v>
      </c>
      <c r="D21" t="n">
        <v>3.18</v>
      </c>
    </row>
    <row r="22">
      <c r="A22">
        <f>HYPERLINK("https://www.tradingview.com/chart/?symbol=NSE:ESCORTS", "ESCORTS")</f>
        <v/>
      </c>
      <c r="B22" t="n">
        <v>195652</v>
      </c>
      <c r="C22" t="n">
        <v>62152.06666666667</v>
      </c>
      <c r="D22" t="n">
        <v>3.15</v>
      </c>
    </row>
    <row r="23">
      <c r="A23">
        <f>HYPERLINK("https://www.tradingview.com/chart/?symbol=NSE:SBFC", "SBFC")</f>
        <v/>
      </c>
      <c r="B23" t="n">
        <v>2983924</v>
      </c>
      <c r="C23" t="n">
        <v>966703.5666666667</v>
      </c>
      <c r="D23" t="n">
        <v>3.09</v>
      </c>
    </row>
    <row r="24">
      <c r="A24">
        <f>HYPERLINK("https://www.tradingview.com/chart/?symbol=NSE:KALYANKJIL", "KALYANKJIL")</f>
        <v/>
      </c>
      <c r="B24" t="n">
        <v>5070073</v>
      </c>
      <c r="C24" t="n">
        <v>1653454.5</v>
      </c>
      <c r="D24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2026-05-09T19:43:19Z</dcterms:created>
  <dcterms:modified xsi:type="dcterms:W3CDTF">2026-05-09T19:43:19Z</dcterms:modified>
</cp:coreProperties>
</file>