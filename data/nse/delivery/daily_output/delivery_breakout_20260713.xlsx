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HYPERLINK("https://www.tradingview.com/chart/?symbol=NSE:KALYANKJIL","KALYANKJIL")</f>
        <v/>
      </c>
      <c r="B2" t="n">
        <v>510.65</v>
      </c>
      <c r="C2" t="n">
        <v>154485625</v>
      </c>
      <c r="D2" t="n">
        <v>20729811</v>
      </c>
      <c r="E2" t="n">
        <v>13.42</v>
      </c>
      <c r="F2" t="n">
        <v>3641518.833333333</v>
      </c>
      <c r="G2" t="n">
        <v>5.69</v>
      </c>
      <c r="H2" t="n">
        <v>7888.81</v>
      </c>
      <c r="I2" t="n">
        <v>1058.57</v>
      </c>
    </row>
    <row r="3">
      <c r="A3">
        <f>HYPERLINK("https://www.tradingview.com/chart/?symbol=NSE:NEWGEN","NEWGEN")</f>
        <v/>
      </c>
      <c r="B3" t="n">
        <v>590.5</v>
      </c>
      <c r="C3" t="n">
        <v>32487365</v>
      </c>
      <c r="D3" t="n">
        <v>2442131</v>
      </c>
      <c r="E3" t="n">
        <v>7.52</v>
      </c>
      <c r="F3" t="n">
        <v>451208.4666666667</v>
      </c>
      <c r="G3" t="n">
        <v>5.41</v>
      </c>
      <c r="H3" t="n">
        <v>1918.38</v>
      </c>
      <c r="I3" t="n">
        <v>144.21</v>
      </c>
    </row>
    <row r="4">
      <c r="A4">
        <f>HYPERLINK("https://www.tradingview.com/chart/?symbol=NSE:JKCEMENT","JKCEMENT")</f>
        <v/>
      </c>
      <c r="B4" t="n">
        <v>5361.5</v>
      </c>
      <c r="C4" t="n">
        <v>271625</v>
      </c>
      <c r="D4" t="n">
        <v>259878</v>
      </c>
      <c r="E4" t="n">
        <v>95.68000000000001</v>
      </c>
      <c r="F4" t="n">
        <v>50196.63333333333</v>
      </c>
      <c r="G4" t="n">
        <v>5.18</v>
      </c>
      <c r="H4" t="n">
        <v>145.63</v>
      </c>
      <c r="I4" t="n">
        <v>139.33</v>
      </c>
    </row>
    <row r="5">
      <c r="A5">
        <f>HYPERLINK("https://www.tradingview.com/chart/?symbol=NSE:ANURAS","ANURAS")</f>
        <v/>
      </c>
      <c r="B5" t="n">
        <v>1269.7</v>
      </c>
      <c r="C5" t="n">
        <v>2304055</v>
      </c>
      <c r="D5" t="n">
        <v>1095523</v>
      </c>
      <c r="E5" t="n">
        <v>47.55</v>
      </c>
      <c r="F5" t="n">
        <v>92427.39999999999</v>
      </c>
      <c r="G5" t="n">
        <v>11.85</v>
      </c>
      <c r="H5" t="n">
        <v>292.55</v>
      </c>
      <c r="I5" t="n">
        <v>139.1</v>
      </c>
    </row>
    <row r="6">
      <c r="A6">
        <f>HYPERLINK("https://www.tradingview.com/chart/?symbol=NSE:JUSTDIAL","JUSTDIAL")</f>
        <v/>
      </c>
      <c r="B6" t="n">
        <v>676.85</v>
      </c>
      <c r="C6" t="n">
        <v>15126498</v>
      </c>
      <c r="D6" t="n">
        <v>1731596</v>
      </c>
      <c r="E6" t="n">
        <v>11.45</v>
      </c>
      <c r="F6" t="n">
        <v>76055.7</v>
      </c>
      <c r="G6" t="n">
        <v>22.77</v>
      </c>
      <c r="H6" t="n">
        <v>1023.84</v>
      </c>
      <c r="I6" t="n">
        <v>117.2</v>
      </c>
    </row>
    <row r="7">
      <c r="A7">
        <f>HYPERLINK("https://www.tradingview.com/chart/?symbol=NSE:AVANTEL","AVANTEL")</f>
        <v/>
      </c>
      <c r="B7" t="n">
        <v>183.76</v>
      </c>
      <c r="C7" t="n">
        <v>27633446</v>
      </c>
      <c r="D7" t="n">
        <v>5077345</v>
      </c>
      <c r="E7" t="n">
        <v>18.37</v>
      </c>
      <c r="F7" t="n">
        <v>971779.1666666666</v>
      </c>
      <c r="G7" t="n">
        <v>5.22</v>
      </c>
      <c r="H7" t="n">
        <v>507.79</v>
      </c>
      <c r="I7" t="n">
        <v>93.3</v>
      </c>
    </row>
    <row r="8">
      <c r="A8">
        <f>HYPERLINK("https://www.tradingview.com/chart/?symbol=NSE:HAPPSTMNDS","HAPPSTMNDS")</f>
        <v/>
      </c>
      <c r="B8" t="n">
        <v>407.55</v>
      </c>
      <c r="C8" t="n">
        <v>9034683</v>
      </c>
      <c r="D8" t="n">
        <v>1863923</v>
      </c>
      <c r="E8" t="n">
        <v>20.63</v>
      </c>
      <c r="F8" t="n">
        <v>371204.2666666667</v>
      </c>
      <c r="G8" t="n">
        <v>5.02</v>
      </c>
      <c r="H8" t="n">
        <v>368.21</v>
      </c>
      <c r="I8" t="n">
        <v>75.95999999999999</v>
      </c>
    </row>
    <row r="9">
      <c r="A9">
        <f>HYPERLINK("https://www.tradingview.com/chart/?symbol=NSE:UTIAMC","UTIAMC")</f>
        <v/>
      </c>
      <c r="B9" t="n">
        <v>1028</v>
      </c>
      <c r="C9" t="n">
        <v>1257830</v>
      </c>
      <c r="D9" t="n">
        <v>560732</v>
      </c>
      <c r="E9" t="n">
        <v>44.58</v>
      </c>
      <c r="F9" t="n">
        <v>104299.4666666667</v>
      </c>
      <c r="G9" t="n">
        <v>5.38</v>
      </c>
      <c r="H9" t="n">
        <v>129.3</v>
      </c>
      <c r="I9" t="n">
        <v>57.64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2026-07-14T09:21:23Z</dcterms:created>
  <dcterms:modified xsi:type="dcterms:W3CDTF">2026-07-14T09:21:23Z</dcterms:modified>
</cp:coreProperties>
</file>