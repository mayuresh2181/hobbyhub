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HYPERLINK("https://www.tradingview.com/chart/?symbol=NSE:INFY","INFY")</f>
        <v/>
      </c>
      <c r="B2" t="n">
        <v>1102.6</v>
      </c>
      <c r="C2" t="n">
        <v>20994760</v>
      </c>
      <c r="D2" t="n">
        <v>10937818</v>
      </c>
      <c r="E2" t="n">
        <v>52.1</v>
      </c>
      <c r="F2" t="n">
        <v>7541464.034482758</v>
      </c>
      <c r="G2" t="n">
        <v>1.45</v>
      </c>
      <c r="H2" t="n">
        <v>2314.88</v>
      </c>
      <c r="I2" t="n">
        <v>1206</v>
      </c>
    </row>
    <row r="3">
      <c r="A3">
        <f>HYPERLINK("https://www.tradingview.com/chart/?symbol=NSE:KALYANKJIL","KALYANKJIL")</f>
        <v/>
      </c>
      <c r="B3" t="n">
        <v>510.65</v>
      </c>
      <c r="C3" t="n">
        <v>154485625</v>
      </c>
      <c r="D3" t="n">
        <v>20729811</v>
      </c>
      <c r="E3" t="n">
        <v>13.42</v>
      </c>
      <c r="F3" t="n">
        <v>3698083.379310345</v>
      </c>
      <c r="G3" t="n">
        <v>5.61</v>
      </c>
      <c r="H3" t="n">
        <v>7888.81</v>
      </c>
      <c r="I3" t="n">
        <v>1058.57</v>
      </c>
    </row>
    <row r="4">
      <c r="A4">
        <f>HYPERLINK("https://www.tradingview.com/chart/?symbol=NSE:TCS","TCS")</f>
        <v/>
      </c>
      <c r="B4" t="n">
        <v>2181.5</v>
      </c>
      <c r="C4" t="n">
        <v>12382622</v>
      </c>
      <c r="D4" t="n">
        <v>4621574</v>
      </c>
      <c r="E4" t="n">
        <v>37.32</v>
      </c>
      <c r="F4" t="n">
        <v>2501291.482758621</v>
      </c>
      <c r="G4" t="n">
        <v>1.85</v>
      </c>
      <c r="H4" t="n">
        <v>2701.27</v>
      </c>
      <c r="I4" t="n">
        <v>1008.2</v>
      </c>
    </row>
    <row r="5">
      <c r="A5">
        <f>HYPERLINK("https://www.tradingview.com/chart/?symbol=NSE:BHARTIARTL","BHARTIARTL")</f>
        <v/>
      </c>
      <c r="B5" t="n">
        <v>1901.8</v>
      </c>
      <c r="C5" t="n">
        <v>7862506</v>
      </c>
      <c r="D5" t="n">
        <v>5253147</v>
      </c>
      <c r="E5" t="n">
        <v>66.81</v>
      </c>
      <c r="F5" t="n">
        <v>4324962.827586207</v>
      </c>
      <c r="G5" t="n">
        <v>1.21</v>
      </c>
      <c r="H5" t="n">
        <v>1495.29</v>
      </c>
      <c r="I5" t="n">
        <v>999.04</v>
      </c>
    </row>
    <row r="6">
      <c r="A6">
        <f>HYPERLINK("https://www.tradingview.com/chart/?symbol=NSE:BAJAJ-AUTO","BAJAJ-AUTO")</f>
        <v/>
      </c>
      <c r="B6" t="n">
        <v>10381</v>
      </c>
      <c r="C6" t="n">
        <v>1009236</v>
      </c>
      <c r="D6" t="n">
        <v>647909</v>
      </c>
      <c r="E6" t="n">
        <v>64.2</v>
      </c>
      <c r="F6" t="n">
        <v>190208.1034482759</v>
      </c>
      <c r="G6" t="n">
        <v>3.41</v>
      </c>
      <c r="H6" t="n">
        <v>1047.69</v>
      </c>
      <c r="I6" t="n">
        <v>672.59</v>
      </c>
    </row>
    <row r="7">
      <c r="A7">
        <f>HYPERLINK("https://www.tradingview.com/chart/?symbol=NSE:TATASTEEL","TATASTEEL")</f>
        <v/>
      </c>
      <c r="B7" t="n">
        <v>187.11</v>
      </c>
      <c r="C7" t="n">
        <v>47597415</v>
      </c>
      <c r="D7" t="n">
        <v>27747352</v>
      </c>
      <c r="E7" t="n">
        <v>58.3</v>
      </c>
      <c r="F7" t="n">
        <v>16445565.82758621</v>
      </c>
      <c r="G7" t="n">
        <v>1.69</v>
      </c>
      <c r="H7" t="n">
        <v>890.6</v>
      </c>
      <c r="I7" t="n">
        <v>519.1799999999999</v>
      </c>
    </row>
    <row r="8">
      <c r="A8">
        <f>HYPERLINK("https://www.tradingview.com/chart/?symbol=NSE:DMART","DMART")</f>
        <v/>
      </c>
      <c r="B8" t="n">
        <v>3994.1</v>
      </c>
      <c r="C8" t="n">
        <v>2286738</v>
      </c>
      <c r="D8" t="n">
        <v>1190115</v>
      </c>
      <c r="E8" t="n">
        <v>52.04</v>
      </c>
      <c r="F8" t="n">
        <v>325591.0689655172</v>
      </c>
      <c r="G8" t="n">
        <v>3.66</v>
      </c>
      <c r="H8" t="n">
        <v>913.35</v>
      </c>
      <c r="I8" t="n">
        <v>475.34</v>
      </c>
    </row>
    <row r="9">
      <c r="A9">
        <f>HYPERLINK("https://www.tradingview.com/chart/?symbol=NSE:HCLTECH","HCLTECH")</f>
        <v/>
      </c>
      <c r="B9" t="n">
        <v>1221.2</v>
      </c>
      <c r="C9" t="n">
        <v>9028077</v>
      </c>
      <c r="D9" t="n">
        <v>3641941</v>
      </c>
      <c r="E9" t="n">
        <v>40.34</v>
      </c>
      <c r="F9" t="n">
        <v>1884578.379310345</v>
      </c>
      <c r="G9" t="n">
        <v>1.93</v>
      </c>
      <c r="H9" t="n">
        <v>1102.51</v>
      </c>
      <c r="I9" t="n">
        <v>444.75</v>
      </c>
    </row>
    <row r="10">
      <c r="A10">
        <f>HYPERLINK("https://www.tradingview.com/chart/?symbol=NSE:EICHERMOT","EICHERMOT")</f>
        <v/>
      </c>
      <c r="B10" t="n">
        <v>7296.5</v>
      </c>
      <c r="C10" t="n">
        <v>787762</v>
      </c>
      <c r="D10" t="n">
        <v>505090</v>
      </c>
      <c r="E10" t="n">
        <v>64.12</v>
      </c>
      <c r="F10" t="n">
        <v>351778.1034482759</v>
      </c>
      <c r="G10" t="n">
        <v>1.44</v>
      </c>
      <c r="H10" t="n">
        <v>574.79</v>
      </c>
      <c r="I10" t="n">
        <v>368.54</v>
      </c>
    </row>
    <row r="11">
      <c r="A11">
        <f>HYPERLINK("https://www.tradingview.com/chart/?symbol=NSE:COFORGE","COFORGE")</f>
        <v/>
      </c>
      <c r="B11" t="n">
        <v>1540.9</v>
      </c>
      <c r="C11" t="n">
        <v>5132000</v>
      </c>
      <c r="D11" t="n">
        <v>2192436</v>
      </c>
      <c r="E11" t="n">
        <v>42.72</v>
      </c>
      <c r="F11" t="n">
        <v>1637224</v>
      </c>
      <c r="G11" t="n">
        <v>1.34</v>
      </c>
      <c r="H11" t="n">
        <v>790.79</v>
      </c>
      <c r="I11" t="n">
        <v>337.83</v>
      </c>
    </row>
    <row r="12">
      <c r="A12">
        <f>HYPERLINK("https://www.tradingview.com/chart/?symbol=NSE:BANKBARODA","BANKBARODA")</f>
        <v/>
      </c>
      <c r="B12" t="n">
        <v>250.65</v>
      </c>
      <c r="C12" t="n">
        <v>18662940</v>
      </c>
      <c r="D12" t="n">
        <v>11367644</v>
      </c>
      <c r="E12" t="n">
        <v>60.91</v>
      </c>
      <c r="F12" t="n">
        <v>7666551.137931035</v>
      </c>
      <c r="G12" t="n">
        <v>1.48</v>
      </c>
      <c r="H12" t="n">
        <v>467.79</v>
      </c>
      <c r="I12" t="n">
        <v>284.93</v>
      </c>
    </row>
    <row r="13">
      <c r="A13">
        <f>HYPERLINK("https://www.tradingview.com/chart/?symbol=NSE:DLF","DLF")</f>
        <v/>
      </c>
      <c r="B13" t="n">
        <v>682.35</v>
      </c>
      <c r="C13" t="n">
        <v>6977830</v>
      </c>
      <c r="D13" t="n">
        <v>3798328</v>
      </c>
      <c r="E13" t="n">
        <v>54.43</v>
      </c>
      <c r="F13" t="n">
        <v>2248437.793103448</v>
      </c>
      <c r="G13" t="n">
        <v>1.69</v>
      </c>
      <c r="H13" t="n">
        <v>476.13</v>
      </c>
      <c r="I13" t="n">
        <v>259.18</v>
      </c>
    </row>
    <row r="14">
      <c r="A14">
        <f>HYPERLINK("https://www.tradingview.com/chart/?symbol=NSE:CUPID","CUPID")</f>
        <v/>
      </c>
      <c r="B14" t="n">
        <v>206.83</v>
      </c>
      <c r="C14" t="n">
        <v>60588172</v>
      </c>
      <c r="D14" t="n">
        <v>12139891</v>
      </c>
      <c r="E14" t="n">
        <v>20.04</v>
      </c>
      <c r="F14" t="n">
        <v>8847170.620689655</v>
      </c>
      <c r="G14" t="n">
        <v>1.37</v>
      </c>
      <c r="H14" t="n">
        <v>1253.15</v>
      </c>
      <c r="I14" t="n">
        <v>251.09</v>
      </c>
    </row>
    <row r="15">
      <c r="A15">
        <f>HYPERLINK("https://www.tradingview.com/chart/?symbol=NSE:PAYTM","PAYTM")</f>
        <v/>
      </c>
      <c r="B15" t="n">
        <v>1386.5</v>
      </c>
      <c r="C15" t="n">
        <v>4677505</v>
      </c>
      <c r="D15" t="n">
        <v>1788370</v>
      </c>
      <c r="E15" t="n">
        <v>38.23</v>
      </c>
      <c r="F15" t="n">
        <v>1084844.896551724</v>
      </c>
      <c r="G15" t="n">
        <v>1.65</v>
      </c>
      <c r="H15" t="n">
        <v>648.54</v>
      </c>
      <c r="I15" t="n">
        <v>247.96</v>
      </c>
    </row>
    <row r="16">
      <c r="A16">
        <f>HYPERLINK("https://www.tradingview.com/chart/?symbol=NSE:ADANIPOWER","ADANIPOWER")</f>
        <v/>
      </c>
      <c r="B16" t="n">
        <v>215.46</v>
      </c>
      <c r="C16" t="n">
        <v>26415659</v>
      </c>
      <c r="D16" t="n">
        <v>11437015</v>
      </c>
      <c r="E16" t="n">
        <v>43.3</v>
      </c>
      <c r="F16" t="n">
        <v>11043593.86206897</v>
      </c>
      <c r="G16" t="n">
        <v>1.04</v>
      </c>
      <c r="H16" t="n">
        <v>569.15</v>
      </c>
      <c r="I16" t="n">
        <v>246.42</v>
      </c>
    </row>
    <row r="17">
      <c r="A17">
        <f>HYPERLINK("https://www.tradingview.com/chart/?symbol=NSE:TORNTPHARM","TORNTPHARM")</f>
        <v/>
      </c>
      <c r="B17" t="n">
        <v>4951.1</v>
      </c>
      <c r="C17" t="n">
        <v>763977</v>
      </c>
      <c r="D17" t="n">
        <v>490620</v>
      </c>
      <c r="E17" t="n">
        <v>64.22</v>
      </c>
      <c r="F17" t="n">
        <v>294237.8620689655</v>
      </c>
      <c r="G17" t="n">
        <v>1.67</v>
      </c>
      <c r="H17" t="n">
        <v>378.25</v>
      </c>
      <c r="I17" t="n">
        <v>242.91</v>
      </c>
    </row>
    <row r="18">
      <c r="A18">
        <f>HYPERLINK("https://www.tradingview.com/chart/?symbol=NSE:ITC","ITC")</f>
        <v/>
      </c>
      <c r="B18" t="n">
        <v>279.65</v>
      </c>
      <c r="C18" t="n">
        <v>12559492</v>
      </c>
      <c r="D18" t="n">
        <v>8527371</v>
      </c>
      <c r="E18" t="n">
        <v>67.90000000000001</v>
      </c>
      <c r="F18" t="n">
        <v>8220948</v>
      </c>
      <c r="G18" t="n">
        <v>1.04</v>
      </c>
      <c r="H18" t="n">
        <v>351.23</v>
      </c>
      <c r="I18" t="n">
        <v>238.47</v>
      </c>
    </row>
    <row r="19">
      <c r="A19">
        <f>HYPERLINK("https://www.tradingview.com/chart/?symbol=NSE:SWIGGY","SWIGGY")</f>
        <v/>
      </c>
      <c r="B19" t="n">
        <v>266.77</v>
      </c>
      <c r="C19" t="n">
        <v>17568805</v>
      </c>
      <c r="D19" t="n">
        <v>8874484</v>
      </c>
      <c r="E19" t="n">
        <v>50.51</v>
      </c>
      <c r="F19" t="n">
        <v>5839409.931034483</v>
      </c>
      <c r="G19" t="n">
        <v>1.52</v>
      </c>
      <c r="H19" t="n">
        <v>468.68</v>
      </c>
      <c r="I19" t="n">
        <v>236.74</v>
      </c>
    </row>
    <row r="20">
      <c r="A20">
        <f>HYPERLINK("https://www.tradingview.com/chart/?symbol=NSE:ADANIENT","ADANIENT")</f>
        <v/>
      </c>
      <c r="B20" t="n">
        <v>3177.5</v>
      </c>
      <c r="C20" t="n">
        <v>1599810</v>
      </c>
      <c r="D20" t="n">
        <v>730583</v>
      </c>
      <c r="E20" t="n">
        <v>45.67</v>
      </c>
      <c r="F20" t="n">
        <v>732251.275862069</v>
      </c>
      <c r="G20" t="n">
        <v>1</v>
      </c>
      <c r="H20" t="n">
        <v>508.34</v>
      </c>
      <c r="I20" t="n">
        <v>232.14</v>
      </c>
    </row>
    <row r="21">
      <c r="A21">
        <f>HYPERLINK("https://www.tradingview.com/chart/?symbol=NSE:HINDUNILVR","HINDUNILVR")</f>
        <v/>
      </c>
      <c r="B21" t="n">
        <v>2130.6</v>
      </c>
      <c r="C21" t="n">
        <v>1833988</v>
      </c>
      <c r="D21" t="n">
        <v>1049040</v>
      </c>
      <c r="E21" t="n">
        <v>57.2</v>
      </c>
      <c r="F21" t="n">
        <v>1016721.379310345</v>
      </c>
      <c r="G21" t="n">
        <v>1.03</v>
      </c>
      <c r="H21" t="n">
        <v>390.75</v>
      </c>
      <c r="I21" t="n">
        <v>223.51</v>
      </c>
    </row>
    <row r="22">
      <c r="A22">
        <f>HYPERLINK("https://www.tradingview.com/chart/?symbol=NSE:NESTLEIND","NESTLEIND")</f>
        <v/>
      </c>
      <c r="B22" t="n">
        <v>1427</v>
      </c>
      <c r="C22" t="n">
        <v>2167829</v>
      </c>
      <c r="D22" t="n">
        <v>1518193</v>
      </c>
      <c r="E22" t="n">
        <v>70.03</v>
      </c>
      <c r="F22" t="n">
        <v>1062551.862068966</v>
      </c>
      <c r="G22" t="n">
        <v>1.43</v>
      </c>
      <c r="H22" t="n">
        <v>309.35</v>
      </c>
      <c r="I22" t="n">
        <v>216.65</v>
      </c>
    </row>
    <row r="23">
      <c r="A23">
        <f>HYPERLINK("https://www.tradingview.com/chart/?symbol=NSE:PINELABS","PINELABS")</f>
        <v/>
      </c>
      <c r="B23" t="n">
        <v>155.14</v>
      </c>
      <c r="C23" t="n">
        <v>50633391</v>
      </c>
      <c r="D23" t="n">
        <v>13752989</v>
      </c>
      <c r="E23" t="n">
        <v>27.16</v>
      </c>
      <c r="F23" t="n">
        <v>9209186.103448275</v>
      </c>
      <c r="G23" t="n">
        <v>1.49</v>
      </c>
      <c r="H23" t="n">
        <v>785.53</v>
      </c>
      <c r="I23" t="n">
        <v>213.36</v>
      </c>
    </row>
    <row r="24">
      <c r="A24">
        <f>HYPERLINK("https://www.tradingview.com/chart/?symbol=NSE:UNIONBANK","UNIONBANK")</f>
        <v/>
      </c>
      <c r="B24" t="n">
        <v>170.39</v>
      </c>
      <c r="C24" t="n">
        <v>30404181</v>
      </c>
      <c r="D24" t="n">
        <v>12442667</v>
      </c>
      <c r="E24" t="n">
        <v>40.92</v>
      </c>
      <c r="F24" t="n">
        <v>6544644.586206896</v>
      </c>
      <c r="G24" t="n">
        <v>1.9</v>
      </c>
      <c r="H24" t="n">
        <v>518.0599999999999</v>
      </c>
      <c r="I24" t="n">
        <v>212.01</v>
      </c>
    </row>
    <row r="25">
      <c r="A25">
        <f>HYPERLINK("https://www.tradingview.com/chart/?symbol=NSE:ICICIAMC","ICICIAMC")</f>
        <v/>
      </c>
      <c r="B25" t="n">
        <v>3205.6</v>
      </c>
      <c r="C25" t="n">
        <v>1006232</v>
      </c>
      <c r="D25" t="n">
        <v>660534</v>
      </c>
      <c r="E25" t="n">
        <v>65.64</v>
      </c>
      <c r="F25" t="n">
        <v>384020.3103448276</v>
      </c>
      <c r="G25" t="n">
        <v>1.72</v>
      </c>
      <c r="H25" t="n">
        <v>322.56</v>
      </c>
      <c r="I25" t="n">
        <v>211.74</v>
      </c>
    </row>
    <row r="26">
      <c r="A26">
        <f>HYPERLINK("https://www.tradingview.com/chart/?symbol=NSE:APOLLOHOSP","APOLLOHOSP")</f>
        <v/>
      </c>
      <c r="B26" t="n">
        <v>8782.5</v>
      </c>
      <c r="C26" t="n">
        <v>410798</v>
      </c>
      <c r="D26" t="n">
        <v>224600</v>
      </c>
      <c r="E26" t="n">
        <v>54.67</v>
      </c>
      <c r="F26" t="n">
        <v>212720.9310344828</v>
      </c>
      <c r="G26" t="n">
        <v>1.06</v>
      </c>
      <c r="H26" t="n">
        <v>360.78</v>
      </c>
      <c r="I26" t="n">
        <v>197.25</v>
      </c>
    </row>
    <row r="27">
      <c r="A27">
        <f>HYPERLINK("https://www.tradingview.com/chart/?symbol=NSE:JSWINFRA","JSWINFRA")</f>
        <v/>
      </c>
      <c r="B27" t="n">
        <v>351.2</v>
      </c>
      <c r="C27" t="n">
        <v>14799789</v>
      </c>
      <c r="D27" t="n">
        <v>5334249</v>
      </c>
      <c r="E27" t="n">
        <v>36.04</v>
      </c>
      <c r="F27" t="n">
        <v>2667063.206896552</v>
      </c>
      <c r="G27" t="n">
        <v>2</v>
      </c>
      <c r="H27" t="n">
        <v>519.77</v>
      </c>
      <c r="I27" t="n">
        <v>187.34</v>
      </c>
    </row>
    <row r="28">
      <c r="A28">
        <f>HYPERLINK("https://www.tradingview.com/chart/?symbol=NSE:HAVELLS","HAVELLS")</f>
        <v/>
      </c>
      <c r="B28" t="n">
        <v>1178.8</v>
      </c>
      <c r="C28" t="n">
        <v>2184918</v>
      </c>
      <c r="D28" t="n">
        <v>1554445</v>
      </c>
      <c r="E28" t="n">
        <v>71.14</v>
      </c>
      <c r="F28" t="n">
        <v>509474.275862069</v>
      </c>
      <c r="G28" t="n">
        <v>3.05</v>
      </c>
      <c r="H28" t="n">
        <v>257.56</v>
      </c>
      <c r="I28" t="n">
        <v>183.24</v>
      </c>
    </row>
    <row r="29">
      <c r="A29">
        <f>HYPERLINK("https://www.tradingview.com/chart/?symbol=NSE:VBL","VBL")</f>
        <v/>
      </c>
      <c r="B29" t="n">
        <v>469.1</v>
      </c>
      <c r="C29" t="n">
        <v>7281774</v>
      </c>
      <c r="D29" t="n">
        <v>3877833</v>
      </c>
      <c r="E29" t="n">
        <v>53.25</v>
      </c>
      <c r="F29" t="n">
        <v>3093545.586206897</v>
      </c>
      <c r="G29" t="n">
        <v>1.25</v>
      </c>
      <c r="H29" t="n">
        <v>341.59</v>
      </c>
      <c r="I29" t="n">
        <v>181.91</v>
      </c>
    </row>
    <row r="30">
      <c r="A30">
        <f>HYPERLINK("https://www.tradingview.com/chart/?symbol=NSE:OFSS","OFSS")</f>
        <v/>
      </c>
      <c r="B30" t="n">
        <v>11746</v>
      </c>
      <c r="C30" t="n">
        <v>475460</v>
      </c>
      <c r="D30" t="n">
        <v>153598</v>
      </c>
      <c r="E30" t="n">
        <v>32.31</v>
      </c>
      <c r="F30" t="n">
        <v>126353.7586206897</v>
      </c>
      <c r="G30" t="n">
        <v>1.22</v>
      </c>
      <c r="H30" t="n">
        <v>558.48</v>
      </c>
      <c r="I30" t="n">
        <v>180.42</v>
      </c>
    </row>
    <row r="31">
      <c r="A31">
        <f>HYPERLINK("https://www.tradingview.com/chart/?symbol=NSE:360ONE","360ONE")</f>
        <v/>
      </c>
      <c r="B31" t="n">
        <v>1118</v>
      </c>
      <c r="C31" t="n">
        <v>2239860</v>
      </c>
      <c r="D31" t="n">
        <v>1582703</v>
      </c>
      <c r="E31" t="n">
        <v>70.66</v>
      </c>
      <c r="F31" t="n">
        <v>720406.5172413794</v>
      </c>
      <c r="G31" t="n">
        <v>2.2</v>
      </c>
      <c r="H31" t="n">
        <v>250.42</v>
      </c>
      <c r="I31" t="n">
        <v>176.95</v>
      </c>
    </row>
    <row r="32">
      <c r="A32">
        <f>HYPERLINK("https://www.tradingview.com/chart/?symbol=NSE:MUTHOOTFIN","MUTHOOTFIN")</f>
        <v/>
      </c>
      <c r="B32" t="n">
        <v>3058.5</v>
      </c>
      <c r="C32" t="n">
        <v>1101513</v>
      </c>
      <c r="D32" t="n">
        <v>566210</v>
      </c>
      <c r="E32" t="n">
        <v>51.4</v>
      </c>
      <c r="F32" t="n">
        <v>531115.8275862068</v>
      </c>
      <c r="G32" t="n">
        <v>1.07</v>
      </c>
      <c r="H32" t="n">
        <v>336.9</v>
      </c>
      <c r="I32" t="n">
        <v>173.18</v>
      </c>
    </row>
    <row r="33">
      <c r="A33">
        <f>HYPERLINK("https://www.tradingview.com/chart/?symbol=NSE:CDSL","CDSL")</f>
        <v/>
      </c>
      <c r="B33" t="n">
        <v>1444.5</v>
      </c>
      <c r="C33" t="n">
        <v>3777293</v>
      </c>
      <c r="D33" t="n">
        <v>1155852</v>
      </c>
      <c r="E33" t="n">
        <v>30.6</v>
      </c>
      <c r="F33" t="n">
        <v>769580.0344827586</v>
      </c>
      <c r="G33" t="n">
        <v>1.5</v>
      </c>
      <c r="H33" t="n">
        <v>545.63</v>
      </c>
      <c r="I33" t="n">
        <v>166.96</v>
      </c>
    </row>
    <row r="34">
      <c r="A34">
        <f>HYPERLINK("https://www.tradingview.com/chart/?symbol=NSE:LTF","LTF")</f>
        <v/>
      </c>
      <c r="B34" t="n">
        <v>324.7</v>
      </c>
      <c r="C34" t="n">
        <v>21524893</v>
      </c>
      <c r="D34" t="n">
        <v>5114478</v>
      </c>
      <c r="E34" t="n">
        <v>23.76</v>
      </c>
      <c r="F34" t="n">
        <v>2858161.896551724</v>
      </c>
      <c r="G34" t="n">
        <v>1.79</v>
      </c>
      <c r="H34" t="n">
        <v>698.91</v>
      </c>
      <c r="I34" t="n">
        <v>166.07</v>
      </c>
    </row>
    <row r="35">
      <c r="A35">
        <f>HYPERLINK("https://www.tradingview.com/chart/?symbol=NSE:GODREJPROP","GODREJPROP")</f>
        <v/>
      </c>
      <c r="B35" t="n">
        <v>2162.6</v>
      </c>
      <c r="C35" t="n">
        <v>1443535</v>
      </c>
      <c r="D35" t="n">
        <v>755951</v>
      </c>
      <c r="E35" t="n">
        <v>52.37</v>
      </c>
      <c r="F35" t="n">
        <v>299200.6551724138</v>
      </c>
      <c r="G35" t="n">
        <v>2.53</v>
      </c>
      <c r="H35" t="n">
        <v>312.18</v>
      </c>
      <c r="I35" t="n">
        <v>163.48</v>
      </c>
    </row>
    <row r="36">
      <c r="A36">
        <f>HYPERLINK("https://www.tradingview.com/chart/?symbol=NSE:INDHOTEL","INDHOTEL")</f>
        <v/>
      </c>
      <c r="B36" t="n">
        <v>738.55</v>
      </c>
      <c r="C36" t="n">
        <v>3853243</v>
      </c>
      <c r="D36" t="n">
        <v>2196676</v>
      </c>
      <c r="E36" t="n">
        <v>57.01</v>
      </c>
      <c r="F36" t="n">
        <v>1546639.344827586</v>
      </c>
      <c r="G36" t="n">
        <v>1.42</v>
      </c>
      <c r="H36" t="n">
        <v>284.58</v>
      </c>
      <c r="I36" t="n">
        <v>162.24</v>
      </c>
    </row>
    <row r="37">
      <c r="A37">
        <f>HYPERLINK("https://www.tradingview.com/chart/?symbol=NSE:ZENSARTECH","ZENSARTECH")</f>
        <v/>
      </c>
      <c r="B37" t="n">
        <v>540.2</v>
      </c>
      <c r="C37" t="n">
        <v>33053195</v>
      </c>
      <c r="D37" t="n">
        <v>2932180</v>
      </c>
      <c r="E37" t="n">
        <v>8.869999999999999</v>
      </c>
      <c r="F37" t="n">
        <v>642304.9310344828</v>
      </c>
      <c r="G37" t="n">
        <v>4.57</v>
      </c>
      <c r="H37" t="n">
        <v>1785.53</v>
      </c>
      <c r="I37" t="n">
        <v>158.4</v>
      </c>
    </row>
    <row r="38">
      <c r="A38">
        <f>HYPERLINK("https://www.tradingview.com/chart/?symbol=NSE:HINDPETRO","HINDPETRO")</f>
        <v/>
      </c>
      <c r="B38" t="n">
        <v>391.6</v>
      </c>
      <c r="C38" t="n">
        <v>7267088</v>
      </c>
      <c r="D38" t="n">
        <v>4024873</v>
      </c>
      <c r="E38" t="n">
        <v>55.38</v>
      </c>
      <c r="F38" t="n">
        <v>3142567.206896552</v>
      </c>
      <c r="G38" t="n">
        <v>1.28</v>
      </c>
      <c r="H38" t="n">
        <v>284.58</v>
      </c>
      <c r="I38" t="n">
        <v>157.61</v>
      </c>
    </row>
    <row r="39">
      <c r="A39">
        <f>HYPERLINK("https://www.tradingview.com/chart/?symbol=NSE:LTM","LTM")</f>
        <v/>
      </c>
      <c r="B39" t="n">
        <v>4124.3</v>
      </c>
      <c r="C39" t="n">
        <v>1835497</v>
      </c>
      <c r="D39" t="n">
        <v>377539</v>
      </c>
      <c r="E39" t="n">
        <v>20.57</v>
      </c>
      <c r="F39" t="n">
        <v>206345.6896551724</v>
      </c>
      <c r="G39" t="n">
        <v>1.83</v>
      </c>
      <c r="H39" t="n">
        <v>757.01</v>
      </c>
      <c r="I39" t="n">
        <v>155.71</v>
      </c>
    </row>
    <row r="40">
      <c r="A40">
        <f>HYPERLINK("https://www.tradingview.com/chart/?symbol=NSE:DRREDDY","DRREDDY")</f>
        <v/>
      </c>
      <c r="B40" t="n">
        <v>1234.5</v>
      </c>
      <c r="C40" t="n">
        <v>2437935</v>
      </c>
      <c r="D40" t="n">
        <v>1243646</v>
      </c>
      <c r="E40" t="n">
        <v>51.01</v>
      </c>
      <c r="F40" t="n">
        <v>991267.6551724138</v>
      </c>
      <c r="G40" t="n">
        <v>1.25</v>
      </c>
      <c r="H40" t="n">
        <v>300.96</v>
      </c>
      <c r="I40" t="n">
        <v>153.53</v>
      </c>
    </row>
    <row r="41">
      <c r="A41">
        <f>HYPERLINK("https://www.tradingview.com/chart/?symbol=NSE:PHOENIXLTD","PHOENIXLTD")</f>
        <v/>
      </c>
      <c r="B41" t="n">
        <v>2154</v>
      </c>
      <c r="C41" t="n">
        <v>1199255</v>
      </c>
      <c r="D41" t="n">
        <v>700797</v>
      </c>
      <c r="E41" t="n">
        <v>58.44</v>
      </c>
      <c r="F41" t="n">
        <v>429143.1034482759</v>
      </c>
      <c r="G41" t="n">
        <v>1.63</v>
      </c>
      <c r="H41" t="n">
        <v>258.32</v>
      </c>
      <c r="I41" t="n">
        <v>150.95</v>
      </c>
    </row>
    <row r="42">
      <c r="A42">
        <f>HYPERLINK("https://www.tradingview.com/chart/?symbol=NSE:NEWGEN","NEWGEN")</f>
        <v/>
      </c>
      <c r="B42" t="n">
        <v>590.5</v>
      </c>
      <c r="C42" t="n">
        <v>32487365</v>
      </c>
      <c r="D42" t="n">
        <v>2442131</v>
      </c>
      <c r="E42" t="n">
        <v>7.52</v>
      </c>
      <c r="F42" t="n">
        <v>459197.5517241379</v>
      </c>
      <c r="G42" t="n">
        <v>5.32</v>
      </c>
      <c r="H42" t="n">
        <v>1918.38</v>
      </c>
      <c r="I42" t="n">
        <v>144.21</v>
      </c>
    </row>
    <row r="43">
      <c r="A43">
        <f>HYPERLINK("https://www.tradingview.com/chart/?symbol=NSE:ATHERENERG","ATHERENERG")</f>
        <v/>
      </c>
      <c r="B43" t="n">
        <v>1184.6</v>
      </c>
      <c r="C43" t="n">
        <v>3601828</v>
      </c>
      <c r="D43" t="n">
        <v>1190340</v>
      </c>
      <c r="E43" t="n">
        <v>33.05</v>
      </c>
      <c r="F43" t="n">
        <v>1175620.586206896</v>
      </c>
      <c r="G43" t="n">
        <v>1.01</v>
      </c>
      <c r="H43" t="n">
        <v>426.67</v>
      </c>
      <c r="I43" t="n">
        <v>141.01</v>
      </c>
    </row>
    <row r="44">
      <c r="A44">
        <f>HYPERLINK("https://www.tradingview.com/chart/?symbol=NSE:JKCEMENT","JKCEMENT")</f>
        <v/>
      </c>
      <c r="B44" t="n">
        <v>5361.5</v>
      </c>
      <c r="C44" t="n">
        <v>271625</v>
      </c>
      <c r="D44" t="n">
        <v>259878</v>
      </c>
      <c r="E44" t="n">
        <v>95.68000000000001</v>
      </c>
      <c r="F44" t="n">
        <v>50108.55172413793</v>
      </c>
      <c r="G44" t="n">
        <v>5.19</v>
      </c>
      <c r="H44" t="n">
        <v>145.63</v>
      </c>
      <c r="I44" t="n">
        <v>139.33</v>
      </c>
    </row>
    <row r="45">
      <c r="A45">
        <f>HYPERLINK("https://www.tradingview.com/chart/?symbol=NSE:ANURAS","ANURAS")</f>
        <v/>
      </c>
      <c r="B45" t="n">
        <v>1269.7</v>
      </c>
      <c r="C45" t="n">
        <v>2304055</v>
      </c>
      <c r="D45" t="n">
        <v>1095523</v>
      </c>
      <c r="E45" t="n">
        <v>47.55</v>
      </c>
      <c r="F45" t="n">
        <v>90653.03448275862</v>
      </c>
      <c r="G45" t="n">
        <v>12.08</v>
      </c>
      <c r="H45" t="n">
        <v>292.55</v>
      </c>
      <c r="I45" t="n">
        <v>139.1</v>
      </c>
    </row>
    <row r="46">
      <c r="A46">
        <f>HYPERLINK("https://www.tradingview.com/chart/?symbol=NSE:BIOCON","BIOCON")</f>
        <v/>
      </c>
      <c r="B46" t="n">
        <v>410.95</v>
      </c>
      <c r="C46" t="n">
        <v>7504643</v>
      </c>
      <c r="D46" t="n">
        <v>3294845</v>
      </c>
      <c r="E46" t="n">
        <v>43.9</v>
      </c>
      <c r="F46" t="n">
        <v>1734044.172413793</v>
      </c>
      <c r="G46" t="n">
        <v>1.9</v>
      </c>
      <c r="H46" t="n">
        <v>308.4</v>
      </c>
      <c r="I46" t="n">
        <v>135.4</v>
      </c>
    </row>
    <row r="47">
      <c r="A47">
        <f>HYPERLINK("https://www.tradingview.com/chart/?symbol=NSE:ICICIGI","ICICIGI")</f>
        <v/>
      </c>
      <c r="B47" t="n">
        <v>1787.3</v>
      </c>
      <c r="C47" t="n">
        <v>1585337</v>
      </c>
      <c r="D47" t="n">
        <v>723590</v>
      </c>
      <c r="E47" t="n">
        <v>45.64</v>
      </c>
      <c r="F47" t="n">
        <v>386725.5172413793</v>
      </c>
      <c r="G47" t="n">
        <v>1.87</v>
      </c>
      <c r="H47" t="n">
        <v>283.35</v>
      </c>
      <c r="I47" t="n">
        <v>129.33</v>
      </c>
    </row>
    <row r="48">
      <c r="A48">
        <f>HYPERLINK("https://www.tradingview.com/chart/?symbol=NSE:GRASIM","GRASIM")</f>
        <v/>
      </c>
      <c r="B48" t="n">
        <v>3144.3</v>
      </c>
      <c r="C48" t="n">
        <v>654390</v>
      </c>
      <c r="D48" t="n">
        <v>392513</v>
      </c>
      <c r="E48" t="n">
        <v>59.98</v>
      </c>
      <c r="F48" t="n">
        <v>378836.4137931034</v>
      </c>
      <c r="G48" t="n">
        <v>1.04</v>
      </c>
      <c r="H48" t="n">
        <v>205.76</v>
      </c>
      <c r="I48" t="n">
        <v>123.42</v>
      </c>
    </row>
    <row r="49">
      <c r="A49">
        <f>HYPERLINK("https://www.tradingview.com/chart/?symbol=NSE:JUSTDIAL","JUSTDIAL")</f>
        <v/>
      </c>
      <c r="B49" t="n">
        <v>676.85</v>
      </c>
      <c r="C49" t="n">
        <v>15126498</v>
      </c>
      <c r="D49" t="n">
        <v>1731596</v>
      </c>
      <c r="E49" t="n">
        <v>11.45</v>
      </c>
      <c r="F49" t="n">
        <v>77891.13793103448</v>
      </c>
      <c r="G49" t="n">
        <v>22.23</v>
      </c>
      <c r="H49" t="n">
        <v>1023.84</v>
      </c>
      <c r="I49" t="n">
        <v>117.2</v>
      </c>
    </row>
    <row r="50">
      <c r="A50">
        <f>HYPERLINK("https://www.tradingview.com/chart/?symbol=NSE:VOLTAS","VOLTAS")</f>
        <v/>
      </c>
      <c r="B50" t="n">
        <v>1349.5</v>
      </c>
      <c r="C50" t="n">
        <v>2093557</v>
      </c>
      <c r="D50" t="n">
        <v>852735</v>
      </c>
      <c r="E50" t="n">
        <v>40.73</v>
      </c>
      <c r="F50" t="n">
        <v>491900.0689655172</v>
      </c>
      <c r="G50" t="n">
        <v>1.73</v>
      </c>
      <c r="H50" t="n">
        <v>282.53</v>
      </c>
      <c r="I50" t="n">
        <v>115.08</v>
      </c>
    </row>
    <row r="51">
      <c r="A51">
        <f>HYPERLINK("https://www.tradingview.com/chart/?symbol=NSE:MAHABANK","MAHABANK")</f>
        <v/>
      </c>
      <c r="B51" t="n">
        <v>82.56</v>
      </c>
      <c r="C51" t="n">
        <v>29829138</v>
      </c>
      <c r="D51" t="n">
        <v>13848134</v>
      </c>
      <c r="E51" t="n">
        <v>46.42</v>
      </c>
      <c r="F51" t="n">
        <v>8265488.517241379</v>
      </c>
      <c r="G51" t="n">
        <v>1.68</v>
      </c>
      <c r="H51" t="n">
        <v>246.27</v>
      </c>
      <c r="I51" t="n">
        <v>114.33</v>
      </c>
    </row>
    <row r="52">
      <c r="A52">
        <f>HYPERLINK("https://www.tradingview.com/chart/?symbol=NSE:NMDC","NMDC")</f>
        <v/>
      </c>
      <c r="B52" t="n">
        <v>84.13</v>
      </c>
      <c r="C52" t="n">
        <v>23088111</v>
      </c>
      <c r="D52" t="n">
        <v>13442293</v>
      </c>
      <c r="E52" t="n">
        <v>58.22</v>
      </c>
      <c r="F52" t="n">
        <v>12733792.10344828</v>
      </c>
      <c r="G52" t="n">
        <v>1.06</v>
      </c>
      <c r="H52" t="n">
        <v>194.24</v>
      </c>
      <c r="I52" t="n">
        <v>113.09</v>
      </c>
    </row>
    <row r="53">
      <c r="A53">
        <f>HYPERLINK("https://www.tradingview.com/chart/?symbol=NSE:AZAD","AZAD")</f>
        <v/>
      </c>
      <c r="B53" t="n">
        <v>2378.5</v>
      </c>
      <c r="C53" t="n">
        <v>1043614</v>
      </c>
      <c r="D53" t="n">
        <v>466912</v>
      </c>
      <c r="E53" t="n">
        <v>44.74</v>
      </c>
      <c r="F53" t="n">
        <v>246221.3793103448</v>
      </c>
      <c r="G53" t="n">
        <v>1.9</v>
      </c>
      <c r="H53" t="n">
        <v>248.22</v>
      </c>
      <c r="I53" t="n">
        <v>111.06</v>
      </c>
    </row>
    <row r="54">
      <c r="A54">
        <f>HYPERLINK("https://www.tradingview.com/chart/?symbol=NSE:ITBEES","ITBEES")</f>
        <v/>
      </c>
      <c r="B54" t="n">
        <v>32.16</v>
      </c>
      <c r="C54" t="n">
        <v>58417067</v>
      </c>
      <c r="D54" t="n">
        <v>33955795</v>
      </c>
      <c r="E54" t="n">
        <v>58.13</v>
      </c>
      <c r="F54" t="n">
        <v>14338526.82758621</v>
      </c>
      <c r="G54" t="n">
        <v>2.37</v>
      </c>
      <c r="H54" t="n">
        <v>187.87</v>
      </c>
      <c r="I54" t="n">
        <v>109.2</v>
      </c>
    </row>
    <row r="55">
      <c r="A55">
        <f>HYPERLINK("https://www.tradingview.com/chart/?symbol=NSE:ABB","ABB")</f>
        <v/>
      </c>
      <c r="B55" t="n">
        <v>6807</v>
      </c>
      <c r="C55" t="n">
        <v>297882</v>
      </c>
      <c r="D55" t="n">
        <v>153848</v>
      </c>
      <c r="E55" t="n">
        <v>51.65</v>
      </c>
      <c r="F55" t="n">
        <v>124873.3103448276</v>
      </c>
      <c r="G55" t="n">
        <v>1.23</v>
      </c>
      <c r="H55" t="n">
        <v>202.77</v>
      </c>
      <c r="I55" t="n">
        <v>104.72</v>
      </c>
    </row>
    <row r="56">
      <c r="A56">
        <f>HYPERLINK("https://www.tradingview.com/chart/?symbol=NSE:TATAELXSI","TATAELXSI")</f>
        <v/>
      </c>
      <c r="B56" t="n">
        <v>3823.6</v>
      </c>
      <c r="C56" t="n">
        <v>687570</v>
      </c>
      <c r="D56" t="n">
        <v>261949</v>
      </c>
      <c r="E56" t="n">
        <v>38.1</v>
      </c>
      <c r="F56" t="n">
        <v>120050.9310344828</v>
      </c>
      <c r="G56" t="n">
        <v>2.18</v>
      </c>
      <c r="H56" t="n">
        <v>262.9</v>
      </c>
      <c r="I56" t="n">
        <v>100.16</v>
      </c>
    </row>
    <row r="57">
      <c r="A57">
        <f>HYPERLINK("https://www.tradingview.com/chart/?symbol=NSE:GLAND","GLAND")</f>
        <v/>
      </c>
      <c r="B57" t="n">
        <v>2461.2</v>
      </c>
      <c r="C57" t="n">
        <v>611673</v>
      </c>
      <c r="D57" t="n">
        <v>399786</v>
      </c>
      <c r="E57" t="n">
        <v>65.36</v>
      </c>
      <c r="F57" t="n">
        <v>363452.4137931034</v>
      </c>
      <c r="G57" t="n">
        <v>1.1</v>
      </c>
      <c r="H57" t="n">
        <v>150.54</v>
      </c>
      <c r="I57" t="n">
        <v>98.40000000000001</v>
      </c>
    </row>
    <row r="58">
      <c r="A58">
        <f>HYPERLINK("https://www.tradingview.com/chart/?symbol=NSE:AMBER","AMBER")</f>
        <v/>
      </c>
      <c r="B58" t="n">
        <v>7771</v>
      </c>
      <c r="C58" t="n">
        <v>375180</v>
      </c>
      <c r="D58" t="n">
        <v>126618</v>
      </c>
      <c r="E58" t="n">
        <v>33.75</v>
      </c>
      <c r="F58" t="n">
        <v>110084.6896551724</v>
      </c>
      <c r="G58" t="n">
        <v>1.15</v>
      </c>
      <c r="H58" t="n">
        <v>291.55</v>
      </c>
      <c r="I58" t="n">
        <v>98.39</v>
      </c>
    </row>
    <row r="59">
      <c r="A59">
        <f>HYPERLINK("https://www.tradingview.com/chart/?symbol=NSE:ZYDUSLIFE","ZYDUSLIFE")</f>
        <v/>
      </c>
      <c r="B59" t="n">
        <v>1131.3</v>
      </c>
      <c r="C59" t="n">
        <v>1514991</v>
      </c>
      <c r="D59" t="n">
        <v>868113</v>
      </c>
      <c r="E59" t="n">
        <v>57.3</v>
      </c>
      <c r="F59" t="n">
        <v>698434.275862069</v>
      </c>
      <c r="G59" t="n">
        <v>1.24</v>
      </c>
      <c r="H59" t="n">
        <v>171.39</v>
      </c>
      <c r="I59" t="n">
        <v>98.20999999999999</v>
      </c>
    </row>
    <row r="60">
      <c r="A60">
        <f>HYPERLINK("https://www.tradingview.com/chart/?symbol=NSE:KPITTECH","KPITTECH")</f>
        <v/>
      </c>
      <c r="B60" t="n">
        <v>573.45</v>
      </c>
      <c r="C60" t="n">
        <v>5545256</v>
      </c>
      <c r="D60" t="n">
        <v>1666024</v>
      </c>
      <c r="E60" t="n">
        <v>30.04</v>
      </c>
      <c r="F60" t="n">
        <v>833288.3448275862</v>
      </c>
      <c r="G60" t="n">
        <v>2</v>
      </c>
      <c r="H60" t="n">
        <v>317.99</v>
      </c>
      <c r="I60" t="n">
        <v>95.54000000000001</v>
      </c>
    </row>
    <row r="61">
      <c r="A61">
        <f>HYPERLINK("https://www.tradingview.com/chart/?symbol=NSE:MFSL","MFSL")</f>
        <v/>
      </c>
      <c r="B61" t="n">
        <v>1631.8</v>
      </c>
      <c r="C61" t="n">
        <v>1039927</v>
      </c>
      <c r="D61" t="n">
        <v>584150</v>
      </c>
      <c r="E61" t="n">
        <v>56.17</v>
      </c>
      <c r="F61" t="n">
        <v>450912.4827586207</v>
      </c>
      <c r="G61" t="n">
        <v>1.3</v>
      </c>
      <c r="H61" t="n">
        <v>169.7</v>
      </c>
      <c r="I61" t="n">
        <v>95.31999999999999</v>
      </c>
    </row>
    <row r="62">
      <c r="A62">
        <f>HYPERLINK("https://www.tradingview.com/chart/?symbol=NSE:BANDHANBNK","BANDHANBNK")</f>
        <v/>
      </c>
      <c r="B62" t="n">
        <v>213.15</v>
      </c>
      <c r="C62" t="n">
        <v>10596594</v>
      </c>
      <c r="D62" t="n">
        <v>4449544</v>
      </c>
      <c r="E62" t="n">
        <v>41.99</v>
      </c>
      <c r="F62" t="n">
        <v>3870706.689655173</v>
      </c>
      <c r="G62" t="n">
        <v>1.15</v>
      </c>
      <c r="H62" t="n">
        <v>225.87</v>
      </c>
      <c r="I62" t="n">
        <v>94.84</v>
      </c>
    </row>
    <row r="63">
      <c r="A63">
        <f>HYPERLINK("https://www.tradingview.com/chart/?symbol=NSE:AVANTEL","AVANTEL")</f>
        <v/>
      </c>
      <c r="B63" t="n">
        <v>183.76</v>
      </c>
      <c r="C63" t="n">
        <v>27633446</v>
      </c>
      <c r="D63" t="n">
        <v>5077345</v>
      </c>
      <c r="E63" t="n">
        <v>18.37</v>
      </c>
      <c r="F63" t="n">
        <v>970568.3793103448</v>
      </c>
      <c r="G63" t="n">
        <v>5.23</v>
      </c>
      <c r="H63" t="n">
        <v>507.79</v>
      </c>
      <c r="I63" t="n">
        <v>93.3</v>
      </c>
    </row>
    <row r="64">
      <c r="A64">
        <f>HYPERLINK("https://www.tradingview.com/chart/?symbol=NSE:LLOYDSENGG","LLOYDSENGG")</f>
        <v/>
      </c>
      <c r="B64" t="n">
        <v>90.81999999999999</v>
      </c>
      <c r="C64" t="n">
        <v>35663051</v>
      </c>
      <c r="D64" t="n">
        <v>10273388</v>
      </c>
      <c r="E64" t="n">
        <v>28.81</v>
      </c>
      <c r="F64" t="n">
        <v>5495047.75862069</v>
      </c>
      <c r="G64" t="n">
        <v>1.87</v>
      </c>
      <c r="H64" t="n">
        <v>323.89</v>
      </c>
      <c r="I64" t="n">
        <v>93.3</v>
      </c>
    </row>
    <row r="65">
      <c r="A65">
        <f>HYPERLINK("https://www.tradingview.com/chart/?symbol=NSE:SONATSOFTW","SONATSOFTW")</f>
        <v/>
      </c>
      <c r="B65" t="n">
        <v>316.05</v>
      </c>
      <c r="C65" t="n">
        <v>31028990</v>
      </c>
      <c r="D65" t="n">
        <v>2902801</v>
      </c>
      <c r="E65" t="n">
        <v>9.359999999999999</v>
      </c>
      <c r="F65" t="n">
        <v>594785.6551724138</v>
      </c>
      <c r="G65" t="n">
        <v>4.88</v>
      </c>
      <c r="H65" t="n">
        <v>980.67</v>
      </c>
      <c r="I65" t="n">
        <v>91.73999999999999</v>
      </c>
    </row>
    <row r="66">
      <c r="A66">
        <f>HYPERLINK("https://www.tradingview.com/chart/?symbol=NSE:JINDALSTEL","JINDALSTEL")</f>
        <v/>
      </c>
      <c r="B66" t="n">
        <v>1028.8</v>
      </c>
      <c r="C66" t="n">
        <v>1907483</v>
      </c>
      <c r="D66" t="n">
        <v>886379</v>
      </c>
      <c r="E66" t="n">
        <v>46.47</v>
      </c>
      <c r="F66" t="n">
        <v>734517.1379310344</v>
      </c>
      <c r="G66" t="n">
        <v>1.21</v>
      </c>
      <c r="H66" t="n">
        <v>196.24</v>
      </c>
      <c r="I66" t="n">
        <v>91.19</v>
      </c>
    </row>
    <row r="67">
      <c r="A67">
        <f>HYPERLINK("https://www.tradingview.com/chart/?symbol=NSE:BDL","BDL")</f>
        <v/>
      </c>
      <c r="B67" t="n">
        <v>1302.8</v>
      </c>
      <c r="C67" t="n">
        <v>2166874</v>
      </c>
      <c r="D67" t="n">
        <v>692831</v>
      </c>
      <c r="E67" t="n">
        <v>31.97</v>
      </c>
      <c r="F67" t="n">
        <v>425945.1034482759</v>
      </c>
      <c r="G67" t="n">
        <v>1.63</v>
      </c>
      <c r="H67" t="n">
        <v>282.3</v>
      </c>
      <c r="I67" t="n">
        <v>90.26000000000001</v>
      </c>
    </row>
    <row r="68">
      <c r="A68">
        <f>HYPERLINK("https://www.tradingview.com/chart/?symbol=NSE:LIQUIDADD","LIQUIDADD")</f>
        <v/>
      </c>
      <c r="B68" t="n">
        <v>1135.37</v>
      </c>
      <c r="C68" t="n">
        <v>914998</v>
      </c>
      <c r="D68" t="n">
        <v>792708</v>
      </c>
      <c r="E68" t="n">
        <v>86.63</v>
      </c>
      <c r="F68" t="n">
        <v>339699.0344827586</v>
      </c>
      <c r="G68" t="n">
        <v>2.33</v>
      </c>
      <c r="H68" t="n">
        <v>103.89</v>
      </c>
      <c r="I68" t="n">
        <v>90</v>
      </c>
    </row>
    <row r="69">
      <c r="A69">
        <f>HYPERLINK("https://www.tradingview.com/chart/?symbol=NSE:SHYAMMETL","SHYAMMETL")</f>
        <v/>
      </c>
      <c r="B69" t="n">
        <v>1029.35</v>
      </c>
      <c r="C69" t="n">
        <v>2119479</v>
      </c>
      <c r="D69" t="n">
        <v>865746</v>
      </c>
      <c r="E69" t="n">
        <v>40.85</v>
      </c>
      <c r="F69" t="n">
        <v>218883.5862068966</v>
      </c>
      <c r="G69" t="n">
        <v>3.96</v>
      </c>
      <c r="H69" t="n">
        <v>218.17</v>
      </c>
      <c r="I69" t="n">
        <v>89.12</v>
      </c>
    </row>
    <row r="70">
      <c r="A70">
        <f>HYPERLINK("https://www.tradingview.com/chart/?symbol=NSE:MRPL","MRPL")</f>
        <v/>
      </c>
      <c r="B70" t="n">
        <v>164.74</v>
      </c>
      <c r="C70" t="n">
        <v>22735229</v>
      </c>
      <c r="D70" t="n">
        <v>5359351</v>
      </c>
      <c r="E70" t="n">
        <v>23.57</v>
      </c>
      <c r="F70" t="n">
        <v>2003442.655172414</v>
      </c>
      <c r="G70" t="n">
        <v>2.68</v>
      </c>
      <c r="H70" t="n">
        <v>374.54</v>
      </c>
      <c r="I70" t="n">
        <v>88.29000000000001</v>
      </c>
    </row>
    <row r="71">
      <c r="A71">
        <f>HYPERLINK("https://www.tradingview.com/chart/?symbol=NSE:BAJAJCON","BAJAJCON")</f>
        <v/>
      </c>
      <c r="B71" t="n">
        <v>660.45</v>
      </c>
      <c r="C71" t="n">
        <v>4341997</v>
      </c>
      <c r="D71" t="n">
        <v>1265720</v>
      </c>
      <c r="E71" t="n">
        <v>29.15</v>
      </c>
      <c r="F71" t="n">
        <v>326204.3448275862</v>
      </c>
      <c r="G71" t="n">
        <v>3.88</v>
      </c>
      <c r="H71" t="n">
        <v>286.77</v>
      </c>
      <c r="I71" t="n">
        <v>83.59</v>
      </c>
    </row>
    <row r="72">
      <c r="A72">
        <f>HYPERLINK("https://www.tradingview.com/chart/?symbol=NSE:RRKABEL","RRKABEL")</f>
        <v/>
      </c>
      <c r="B72" t="n">
        <v>2374.8</v>
      </c>
      <c r="C72" t="n">
        <v>819246</v>
      </c>
      <c r="D72" t="n">
        <v>344983</v>
      </c>
      <c r="E72" t="n">
        <v>42.11</v>
      </c>
      <c r="F72" t="n">
        <v>283743.7931034483</v>
      </c>
      <c r="G72" t="n">
        <v>1.22</v>
      </c>
      <c r="H72" t="n">
        <v>194.55</v>
      </c>
      <c r="I72" t="n">
        <v>81.93000000000001</v>
      </c>
    </row>
    <row r="73">
      <c r="A73">
        <f>HYPERLINK("https://www.tradingview.com/chart/?symbol=NSE:CONCOR","CONCOR")</f>
        <v/>
      </c>
      <c r="B73" t="n">
        <v>463.95</v>
      </c>
      <c r="C73" t="n">
        <v>3105163</v>
      </c>
      <c r="D73" t="n">
        <v>1762353</v>
      </c>
      <c r="E73" t="n">
        <v>56.76</v>
      </c>
      <c r="F73" t="n">
        <v>865871.4827586206</v>
      </c>
      <c r="G73" t="n">
        <v>2.04</v>
      </c>
      <c r="H73" t="n">
        <v>144.06</v>
      </c>
      <c r="I73" t="n">
        <v>81.76000000000001</v>
      </c>
    </row>
    <row r="74">
      <c r="A74">
        <f>HYPERLINK("https://www.tradingview.com/chart/?symbol=NSE:UJJIVANSFB","UJJIVANSFB")</f>
        <v/>
      </c>
      <c r="B74" t="n">
        <v>66.87</v>
      </c>
      <c r="C74" t="n">
        <v>28602924</v>
      </c>
      <c r="D74" t="n">
        <v>12089184</v>
      </c>
      <c r="E74" t="n">
        <v>42.27</v>
      </c>
      <c r="F74" t="n">
        <v>7435554.827586207</v>
      </c>
      <c r="G74" t="n">
        <v>1.63</v>
      </c>
      <c r="H74" t="n">
        <v>191.27</v>
      </c>
      <c r="I74" t="n">
        <v>80.84</v>
      </c>
    </row>
    <row r="75">
      <c r="A75">
        <f>HYPERLINK("https://www.tradingview.com/chart/?symbol=NSE:JBCHEPHARM","JBCHEPHARM")</f>
        <v/>
      </c>
      <c r="B75" t="n">
        <v>2460</v>
      </c>
      <c r="C75" t="n">
        <v>455413</v>
      </c>
      <c r="D75" t="n">
        <v>323953</v>
      </c>
      <c r="E75" t="n">
        <v>71.13</v>
      </c>
      <c r="F75" t="n">
        <v>198824.8965517241</v>
      </c>
      <c r="G75" t="n">
        <v>1.63</v>
      </c>
      <c r="H75" t="n">
        <v>112.03</v>
      </c>
      <c r="I75" t="n">
        <v>79.69</v>
      </c>
    </row>
    <row r="76">
      <c r="A76">
        <f>HYPERLINK("https://www.tradingview.com/chart/?symbol=NSE:ONESOURCE","ONESOURCE")</f>
        <v/>
      </c>
      <c r="B76" t="n">
        <v>1673</v>
      </c>
      <c r="C76" t="n">
        <v>713625</v>
      </c>
      <c r="D76" t="n">
        <v>468624</v>
      </c>
      <c r="E76" t="n">
        <v>65.67</v>
      </c>
      <c r="F76" t="n">
        <v>128345.4827586207</v>
      </c>
      <c r="G76" t="n">
        <v>3.65</v>
      </c>
      <c r="H76" t="n">
        <v>119.39</v>
      </c>
      <c r="I76" t="n">
        <v>78.40000000000001</v>
      </c>
    </row>
    <row r="77">
      <c r="A77">
        <f>HYPERLINK("https://www.tradingview.com/chart/?symbol=NSE:HEG","HEG")</f>
        <v/>
      </c>
      <c r="B77" t="n">
        <v>575.4</v>
      </c>
      <c r="C77" t="n">
        <v>3683927</v>
      </c>
      <c r="D77" t="n">
        <v>1334152</v>
      </c>
      <c r="E77" t="n">
        <v>36.22</v>
      </c>
      <c r="F77" t="n">
        <v>372317.4137931034</v>
      </c>
      <c r="G77" t="n">
        <v>3.58</v>
      </c>
      <c r="H77" t="n">
        <v>211.97</v>
      </c>
      <c r="I77" t="n">
        <v>76.77</v>
      </c>
    </row>
    <row r="78">
      <c r="A78">
        <f>HYPERLINK("https://www.tradingview.com/chart/?symbol=NSE:HAPPSTMNDS","HAPPSTMNDS")</f>
        <v/>
      </c>
      <c r="B78" t="n">
        <v>407.55</v>
      </c>
      <c r="C78" t="n">
        <v>9034683</v>
      </c>
      <c r="D78" t="n">
        <v>1863923</v>
      </c>
      <c r="E78" t="n">
        <v>20.63</v>
      </c>
      <c r="F78" t="n">
        <v>367796.3793103448</v>
      </c>
      <c r="G78" t="n">
        <v>5.07</v>
      </c>
      <c r="H78" t="n">
        <v>368.21</v>
      </c>
      <c r="I78" t="n">
        <v>75.95999999999999</v>
      </c>
    </row>
    <row r="79">
      <c r="A79">
        <f>HYPERLINK("https://www.tradingview.com/chart/?symbol=NSE:ALKEM","ALKEM")</f>
        <v/>
      </c>
      <c r="B79" t="n">
        <v>5567</v>
      </c>
      <c r="C79" t="n">
        <v>219164</v>
      </c>
      <c r="D79" t="n">
        <v>135378</v>
      </c>
      <c r="E79" t="n">
        <v>61.77</v>
      </c>
      <c r="F79" t="n">
        <v>82087.79310344828</v>
      </c>
      <c r="G79" t="n">
        <v>1.65</v>
      </c>
      <c r="H79" t="n">
        <v>122.01</v>
      </c>
      <c r="I79" t="n">
        <v>75.36</v>
      </c>
    </row>
    <row r="80">
      <c r="A80">
        <f>HYPERLINK("https://www.tradingview.com/chart/?symbol=NSE:MAPMYINDIA","MAPMYINDIA")</f>
        <v/>
      </c>
      <c r="B80" t="n">
        <v>1184.9</v>
      </c>
      <c r="C80" t="n">
        <v>4147031</v>
      </c>
      <c r="D80" t="n">
        <v>625582</v>
      </c>
      <c r="E80" t="n">
        <v>15.09</v>
      </c>
      <c r="F80" t="n">
        <v>169305.7586206897</v>
      </c>
      <c r="G80" t="n">
        <v>3.69</v>
      </c>
      <c r="H80" t="n">
        <v>491.38</v>
      </c>
      <c r="I80" t="n">
        <v>74.13</v>
      </c>
    </row>
    <row r="81">
      <c r="A81">
        <f>HYPERLINK("https://www.tradingview.com/chart/?symbol=NSE:TATATECH","TATATECH")</f>
        <v/>
      </c>
      <c r="B81" t="n">
        <v>760.8</v>
      </c>
      <c r="C81" t="n">
        <v>2575535</v>
      </c>
      <c r="D81" t="n">
        <v>921623</v>
      </c>
      <c r="E81" t="n">
        <v>35.78</v>
      </c>
      <c r="F81" t="n">
        <v>577323.9655172414</v>
      </c>
      <c r="G81" t="n">
        <v>1.6</v>
      </c>
      <c r="H81" t="n">
        <v>195.95</v>
      </c>
      <c r="I81" t="n">
        <v>70.12</v>
      </c>
    </row>
    <row r="82">
      <c r="A82">
        <f>HYPERLINK("https://www.tradingview.com/chart/?symbol=NSE:PCJEWELLER","PCJEWELLER")</f>
        <v/>
      </c>
      <c r="B82" t="n">
        <v>9.92</v>
      </c>
      <c r="C82" t="n">
        <v>454387491</v>
      </c>
      <c r="D82" t="n">
        <v>70306407</v>
      </c>
      <c r="E82" t="n">
        <v>15.47</v>
      </c>
      <c r="F82" t="n">
        <v>39133359.8275862</v>
      </c>
      <c r="G82" t="n">
        <v>1.8</v>
      </c>
      <c r="H82" t="n">
        <v>450.75</v>
      </c>
      <c r="I82" t="n">
        <v>69.73999999999999</v>
      </c>
    </row>
    <row r="83">
      <c r="A83">
        <f>HYPERLINK("https://www.tradingview.com/chart/?symbol=NSE:MPHASIS","MPHASIS")</f>
        <v/>
      </c>
      <c r="B83" t="n">
        <v>2390.4</v>
      </c>
      <c r="C83" t="n">
        <v>682431</v>
      </c>
      <c r="D83" t="n">
        <v>288532</v>
      </c>
      <c r="E83" t="n">
        <v>42.28</v>
      </c>
      <c r="F83" t="n">
        <v>253497.275862069</v>
      </c>
      <c r="G83" t="n">
        <v>1.14</v>
      </c>
      <c r="H83" t="n">
        <v>163.13</v>
      </c>
      <c r="I83" t="n">
        <v>68.97</v>
      </c>
    </row>
    <row r="84">
      <c r="A84">
        <f>HYPERLINK("https://www.tradingview.com/chart/?symbol=NSE:CHENNPETRO","CHENNPETRO")</f>
        <v/>
      </c>
      <c r="B84" t="n">
        <v>1157.9</v>
      </c>
      <c r="C84" t="n">
        <v>2053306</v>
      </c>
      <c r="D84" t="n">
        <v>593514</v>
      </c>
      <c r="E84" t="n">
        <v>28.91</v>
      </c>
      <c r="F84" t="n">
        <v>330475.3103448276</v>
      </c>
      <c r="G84" t="n">
        <v>1.8</v>
      </c>
      <c r="H84" t="n">
        <v>237.75</v>
      </c>
      <c r="I84" t="n">
        <v>68.72</v>
      </c>
    </row>
    <row r="85">
      <c r="A85">
        <f>HYPERLINK("https://www.tradingview.com/chart/?symbol=NSE:CROMPTON","CROMPTON")</f>
        <v/>
      </c>
      <c r="B85" t="n">
        <v>261.8</v>
      </c>
      <c r="C85" t="n">
        <v>4132466</v>
      </c>
      <c r="D85" t="n">
        <v>2588932</v>
      </c>
      <c r="E85" t="n">
        <v>62.65</v>
      </c>
      <c r="F85" t="n">
        <v>1326402.655172414</v>
      </c>
      <c r="G85" t="n">
        <v>1.95</v>
      </c>
      <c r="H85" t="n">
        <v>108.19</v>
      </c>
      <c r="I85" t="n">
        <v>67.78</v>
      </c>
    </row>
    <row r="86">
      <c r="A86">
        <f>HYPERLINK("https://www.tradingview.com/chart/?symbol=NSE:GLENMARK","GLENMARK")</f>
        <v/>
      </c>
      <c r="B86" t="n">
        <v>2301.3</v>
      </c>
      <c r="C86" t="n">
        <v>720659</v>
      </c>
      <c r="D86" t="n">
        <v>292536</v>
      </c>
      <c r="E86" t="n">
        <v>40.59</v>
      </c>
      <c r="F86" t="n">
        <v>286131.7931034483</v>
      </c>
      <c r="G86" t="n">
        <v>1.02</v>
      </c>
      <c r="H86" t="n">
        <v>165.85</v>
      </c>
      <c r="I86" t="n">
        <v>67.31999999999999</v>
      </c>
    </row>
    <row r="87">
      <c r="A87">
        <f>HYPERLINK("https://www.tradingview.com/chart/?symbol=NSE:J&amp;KBANK","J&amp;KBANK")</f>
        <v/>
      </c>
      <c r="B87" t="n">
        <v>182.6</v>
      </c>
      <c r="C87" t="n">
        <v>10888625</v>
      </c>
      <c r="D87" t="n">
        <v>3633555</v>
      </c>
      <c r="E87" t="n">
        <v>33.37</v>
      </c>
      <c r="F87" t="n">
        <v>2147954.551724138</v>
      </c>
      <c r="G87" t="n">
        <v>1.69</v>
      </c>
      <c r="H87" t="n">
        <v>198.83</v>
      </c>
      <c r="I87" t="n">
        <v>66.34999999999999</v>
      </c>
    </row>
    <row r="88">
      <c r="A88">
        <f>HYPERLINK("https://www.tradingview.com/chart/?symbol=NSE:AEQUS","AEQUS")</f>
        <v/>
      </c>
      <c r="B88" t="n">
        <v>244.69</v>
      </c>
      <c r="C88" t="n">
        <v>5223952</v>
      </c>
      <c r="D88" t="n">
        <v>2711227</v>
      </c>
      <c r="E88" t="n">
        <v>51.9</v>
      </c>
      <c r="F88" t="n">
        <v>2392228.931034483</v>
      </c>
      <c r="G88" t="n">
        <v>1.13</v>
      </c>
      <c r="H88" t="n">
        <v>127.82</v>
      </c>
      <c r="I88" t="n">
        <v>66.34</v>
      </c>
    </row>
    <row r="89">
      <c r="A89">
        <f>HYPERLINK("https://www.tradingview.com/chart/?symbol=NSE:LICHSGFIN","LICHSGFIN")</f>
        <v/>
      </c>
      <c r="B89" t="n">
        <v>551.9</v>
      </c>
      <c r="C89" t="n">
        <v>1885782</v>
      </c>
      <c r="D89" t="n">
        <v>1179726</v>
      </c>
      <c r="E89" t="n">
        <v>62.56</v>
      </c>
      <c r="F89" t="n">
        <v>822569.3448275862</v>
      </c>
      <c r="G89" t="n">
        <v>1.43</v>
      </c>
      <c r="H89" t="n">
        <v>104.08</v>
      </c>
      <c r="I89" t="n">
        <v>65.11</v>
      </c>
    </row>
    <row r="90">
      <c r="A90">
        <f>HYPERLINK("https://www.tradingview.com/chart/?symbol=NSE:SENCO","SENCO")</f>
        <v/>
      </c>
      <c r="B90" t="n">
        <v>381</v>
      </c>
      <c r="C90" t="n">
        <v>5609385</v>
      </c>
      <c r="D90" t="n">
        <v>1707911</v>
      </c>
      <c r="E90" t="n">
        <v>30.45</v>
      </c>
      <c r="F90" t="n">
        <v>349488.6206896552</v>
      </c>
      <c r="G90" t="n">
        <v>4.89</v>
      </c>
      <c r="H90" t="n">
        <v>213.72</v>
      </c>
      <c r="I90" t="n">
        <v>65.06999999999999</v>
      </c>
    </row>
    <row r="91">
      <c r="A91">
        <f>HYPERLINK("https://www.tradingview.com/chart/?symbol=NSE:BSOFT","BSOFT")</f>
        <v/>
      </c>
      <c r="B91" t="n">
        <v>299.3</v>
      </c>
      <c r="C91" t="n">
        <v>5011583</v>
      </c>
      <c r="D91" t="n">
        <v>2068182</v>
      </c>
      <c r="E91" t="n">
        <v>41.27</v>
      </c>
      <c r="F91" t="n">
        <v>816371.6206896552</v>
      </c>
      <c r="G91" t="n">
        <v>2.53</v>
      </c>
      <c r="H91" t="n">
        <v>150</v>
      </c>
      <c r="I91" t="n">
        <v>61.9</v>
      </c>
    </row>
    <row r="92">
      <c r="A92">
        <f>HYPERLINK("https://www.tradingview.com/chart/?symbol=NSE:ARE&amp;M","ARE&amp;M")</f>
        <v/>
      </c>
      <c r="B92" t="n">
        <v>909.05</v>
      </c>
      <c r="C92" t="n">
        <v>1496285</v>
      </c>
      <c r="D92" t="n">
        <v>673866</v>
      </c>
      <c r="E92" t="n">
        <v>45.04</v>
      </c>
      <c r="F92" t="n">
        <v>246198.2068965517</v>
      </c>
      <c r="G92" t="n">
        <v>2.74</v>
      </c>
      <c r="H92" t="n">
        <v>136.02</v>
      </c>
      <c r="I92" t="n">
        <v>61.26</v>
      </c>
    </row>
    <row r="93">
      <c r="A93">
        <f>HYPERLINK("https://www.tradingview.com/chart/?symbol=NSE:GRANULES","GRANULES")</f>
        <v/>
      </c>
      <c r="B93" t="n">
        <v>897.65</v>
      </c>
      <c r="C93" t="n">
        <v>1173159</v>
      </c>
      <c r="D93" t="n">
        <v>673903</v>
      </c>
      <c r="E93" t="n">
        <v>57.44</v>
      </c>
      <c r="F93" t="n">
        <v>626498.7586206896</v>
      </c>
      <c r="G93" t="n">
        <v>1.08</v>
      </c>
      <c r="H93" t="n">
        <v>105.31</v>
      </c>
      <c r="I93" t="n">
        <v>60.49</v>
      </c>
    </row>
    <row r="94">
      <c r="A94">
        <f>HYPERLINK("https://www.tradingview.com/chart/?symbol=NSE:BELRISE","BELRISE")</f>
        <v/>
      </c>
      <c r="B94" t="n">
        <v>236.56</v>
      </c>
      <c r="C94" t="n">
        <v>8638680</v>
      </c>
      <c r="D94" t="n">
        <v>2541005</v>
      </c>
      <c r="E94" t="n">
        <v>29.41</v>
      </c>
      <c r="F94" t="n">
        <v>1926001.413793104</v>
      </c>
      <c r="G94" t="n">
        <v>1.32</v>
      </c>
      <c r="H94" t="n">
        <v>204.36</v>
      </c>
      <c r="I94" t="n">
        <v>60.11</v>
      </c>
    </row>
    <row r="95">
      <c r="A95">
        <f>HYPERLINK("https://www.tradingview.com/chart/?symbol=NSE:CASHIETF","CASHIETF")</f>
        <v/>
      </c>
      <c r="B95" t="n">
        <v>1070.56</v>
      </c>
      <c r="C95" t="n">
        <v>574782</v>
      </c>
      <c r="D95" t="n">
        <v>554347</v>
      </c>
      <c r="E95" t="n">
        <v>96.44</v>
      </c>
      <c r="F95" t="n">
        <v>223047.5862068966</v>
      </c>
      <c r="G95" t="n">
        <v>2.49</v>
      </c>
      <c r="H95" t="n">
        <v>61.53</v>
      </c>
      <c r="I95" t="n">
        <v>59.35</v>
      </c>
    </row>
    <row r="96">
      <c r="A96">
        <f>HYPERLINK("https://www.tradingview.com/chart/?symbol=NSE:UTIAMC","UTIAMC")</f>
        <v/>
      </c>
      <c r="B96" t="n">
        <v>1028</v>
      </c>
      <c r="C96" t="n">
        <v>1257830</v>
      </c>
      <c r="D96" t="n">
        <v>560732</v>
      </c>
      <c r="E96" t="n">
        <v>44.58</v>
      </c>
      <c r="F96" t="n">
        <v>106485.724137931</v>
      </c>
      <c r="G96" t="n">
        <v>5.27</v>
      </c>
      <c r="H96" t="n">
        <v>129.3</v>
      </c>
      <c r="I96" t="n">
        <v>57.64</v>
      </c>
    </row>
    <row r="97">
      <c r="A97">
        <f>HYPERLINK("https://www.tradingview.com/chart/?symbol=NSE:KFINTECH","KFINTECH")</f>
        <v/>
      </c>
      <c r="B97" t="n">
        <v>925.85</v>
      </c>
      <c r="C97" t="n">
        <v>1888791</v>
      </c>
      <c r="D97" t="n">
        <v>621861</v>
      </c>
      <c r="E97" t="n">
        <v>32.92</v>
      </c>
      <c r="F97" t="n">
        <v>494614.6551724138</v>
      </c>
      <c r="G97" t="n">
        <v>1.26</v>
      </c>
      <c r="H97" t="n">
        <v>174.87</v>
      </c>
      <c r="I97" t="n">
        <v>57.58</v>
      </c>
    </row>
    <row r="98">
      <c r="A98">
        <f>HYPERLINK("https://www.tradingview.com/chart/?symbol=NSE:RAIN","RAIN")</f>
        <v/>
      </c>
      <c r="B98" t="n">
        <v>213.41</v>
      </c>
      <c r="C98" t="n">
        <v>9311301</v>
      </c>
      <c r="D98" t="n">
        <v>2658951</v>
      </c>
      <c r="E98" t="n">
        <v>28.56</v>
      </c>
      <c r="F98" t="n">
        <v>1921287.137931034</v>
      </c>
      <c r="G98" t="n">
        <v>1.38</v>
      </c>
      <c r="H98" t="n">
        <v>198.71</v>
      </c>
      <c r="I98" t="n">
        <v>56.74</v>
      </c>
    </row>
    <row r="99">
      <c r="A99">
        <f>HYPERLINK("https://www.tradingview.com/chart/?symbol=NSE:PREMIERENE","PREMIERENE")</f>
        <v/>
      </c>
      <c r="B99" t="n">
        <v>1109.5</v>
      </c>
      <c r="C99" t="n">
        <v>1108267</v>
      </c>
      <c r="D99" t="n">
        <v>502219</v>
      </c>
      <c r="E99" t="n">
        <v>45.32</v>
      </c>
      <c r="F99" t="n">
        <v>472838.724137931</v>
      </c>
      <c r="G99" t="n">
        <v>1.06</v>
      </c>
      <c r="H99" t="n">
        <v>122.96</v>
      </c>
      <c r="I99" t="n">
        <v>55.72</v>
      </c>
    </row>
    <row r="100">
      <c r="A100">
        <f>HYPERLINK("https://www.tradingview.com/chart/?symbol=NSE:KIMS","KIMS")</f>
        <v/>
      </c>
      <c r="B100" t="n">
        <v>800.95</v>
      </c>
      <c r="C100" t="n">
        <v>873815</v>
      </c>
      <c r="D100" t="n">
        <v>682531</v>
      </c>
      <c r="E100" t="n">
        <v>78.11</v>
      </c>
      <c r="F100" t="n">
        <v>346608</v>
      </c>
      <c r="G100" t="n">
        <v>1.97</v>
      </c>
      <c r="H100" t="n">
        <v>69.98999999999999</v>
      </c>
      <c r="I100" t="n">
        <v>54.67</v>
      </c>
    </row>
    <row r="101">
      <c r="A101">
        <f>HYPERLINK("https://www.tradingview.com/chart/?symbol=NSE:VIKRAMSOLR","VIKRAMSOLR")</f>
        <v/>
      </c>
      <c r="B101" t="n">
        <v>195.24</v>
      </c>
      <c r="C101" t="n">
        <v>6383687</v>
      </c>
      <c r="D101" t="n">
        <v>2783528</v>
      </c>
      <c r="E101" t="n">
        <v>43.6</v>
      </c>
      <c r="F101" t="n">
        <v>1789797.826086957</v>
      </c>
      <c r="G101" t="n">
        <v>1.56</v>
      </c>
      <c r="H101" t="n">
        <v>124.64</v>
      </c>
      <c r="I101" t="n">
        <v>54.35</v>
      </c>
    </row>
    <row r="102">
      <c r="A102">
        <f>HYPERLINK("https://www.tradingview.com/chart/?symbol=NSE:KAJARIACER","KAJARIACER")</f>
        <v/>
      </c>
      <c r="B102" t="n">
        <v>1236.4</v>
      </c>
      <c r="C102" t="n">
        <v>730261</v>
      </c>
      <c r="D102" t="n">
        <v>439242</v>
      </c>
      <c r="E102" t="n">
        <v>60.15</v>
      </c>
      <c r="F102" t="n">
        <v>140568.6206896552</v>
      </c>
      <c r="G102" t="n">
        <v>3.12</v>
      </c>
      <c r="H102" t="n">
        <v>90.29000000000001</v>
      </c>
      <c r="I102" t="n">
        <v>54.31</v>
      </c>
    </row>
    <row r="103">
      <c r="A103">
        <f>HYPERLINK("https://www.tradingview.com/chart/?symbol=NSE:AFFLE","AFFLE")</f>
        <v/>
      </c>
      <c r="B103" t="n">
        <v>1539.3</v>
      </c>
      <c r="C103" t="n">
        <v>1550428</v>
      </c>
      <c r="D103" t="n">
        <v>349347</v>
      </c>
      <c r="E103" t="n">
        <v>22.53</v>
      </c>
      <c r="F103" t="n">
        <v>110809.3448275862</v>
      </c>
      <c r="G103" t="n">
        <v>3.15</v>
      </c>
      <c r="H103" t="n">
        <v>238.66</v>
      </c>
      <c r="I103" t="n">
        <v>53.77</v>
      </c>
    </row>
    <row r="104">
      <c r="A104">
        <f>HYPERLINK("https://www.tradingview.com/chart/?symbol=NSE:LIQUIDIETF","LIQUIDIETF")</f>
        <v/>
      </c>
      <c r="B104" t="n">
        <v>999.99</v>
      </c>
      <c r="C104" t="n">
        <v>533909</v>
      </c>
      <c r="D104" t="n">
        <v>523590</v>
      </c>
      <c r="E104" t="n">
        <v>98.06999999999999</v>
      </c>
      <c r="F104" t="n">
        <v>455309.1724137931</v>
      </c>
      <c r="G104" t="n">
        <v>1.15</v>
      </c>
      <c r="H104" t="n">
        <v>53.39</v>
      </c>
      <c r="I104" t="n">
        <v>52.36</v>
      </c>
    </row>
    <row r="105">
      <c r="A105">
        <f>HYPERLINK("https://www.tradingview.com/chart/?symbol=NSE:ACE","ACE")</f>
        <v/>
      </c>
      <c r="B105" t="n">
        <v>985.7</v>
      </c>
      <c r="C105" t="n">
        <v>853286</v>
      </c>
      <c r="D105" t="n">
        <v>524281</v>
      </c>
      <c r="E105" t="n">
        <v>61.44</v>
      </c>
      <c r="F105" t="n">
        <v>167787.3448275862</v>
      </c>
      <c r="G105" t="n">
        <v>3.12</v>
      </c>
      <c r="H105" t="n">
        <v>84.11</v>
      </c>
      <c r="I105" t="n">
        <v>51.68</v>
      </c>
    </row>
    <row r="106">
      <c r="A106">
        <f>HYPERLINK("https://www.tradingview.com/chart/?symbol=NSE:LIQUIDBETF","LIQUIDBETF")</f>
        <v/>
      </c>
      <c r="B106" t="n">
        <v>1089.96</v>
      </c>
      <c r="C106" t="n">
        <v>541312</v>
      </c>
      <c r="D106" t="n">
        <v>473824</v>
      </c>
      <c r="E106" t="n">
        <v>87.53</v>
      </c>
      <c r="F106" t="n">
        <v>231638.0344827586</v>
      </c>
      <c r="G106" t="n">
        <v>2.05</v>
      </c>
      <c r="H106" t="n">
        <v>59</v>
      </c>
      <c r="I106" t="n">
        <v>51.64</v>
      </c>
    </row>
    <row r="107">
      <c r="A107">
        <f>HYPERLINK("https://www.tradingview.com/chart/?symbol=NSE:GOODLUCK","GOODLUCK")</f>
        <v/>
      </c>
      <c r="B107" t="n">
        <v>1629.4</v>
      </c>
      <c r="C107" t="n">
        <v>783992</v>
      </c>
      <c r="D107" t="n">
        <v>315854</v>
      </c>
      <c r="E107" t="n">
        <v>40.29</v>
      </c>
      <c r="F107" t="n">
        <v>113377.275862069</v>
      </c>
      <c r="G107" t="n">
        <v>2.79</v>
      </c>
      <c r="H107" t="n">
        <v>127.74</v>
      </c>
      <c r="I107" t="n">
        <v>51.47</v>
      </c>
    </row>
    <row r="108">
      <c r="A108">
        <f>HYPERLINK("https://www.tradingview.com/chart/?symbol=NSE:CEMPRO","CEMPRO")</f>
        <v/>
      </c>
      <c r="B108" t="n">
        <v>1583.7</v>
      </c>
      <c r="C108" t="n">
        <v>496359</v>
      </c>
      <c r="D108" t="n">
        <v>322963</v>
      </c>
      <c r="E108" t="n">
        <v>65.06999999999999</v>
      </c>
      <c r="F108" t="n">
        <v>311602.6206896552</v>
      </c>
      <c r="G108" t="n">
        <v>1.04</v>
      </c>
      <c r="H108" t="n">
        <v>78.61</v>
      </c>
      <c r="I108" t="n">
        <v>51.15</v>
      </c>
    </row>
    <row r="109">
      <c r="A109">
        <f>HYPERLINK("https://www.tradingview.com/chart/?symbol=NSE:ICICIPRULI","ICICIPRULI")</f>
        <v/>
      </c>
      <c r="B109" t="n">
        <v>519.7</v>
      </c>
      <c r="C109" t="n">
        <v>2214317</v>
      </c>
      <c r="D109" t="n">
        <v>982531</v>
      </c>
      <c r="E109" t="n">
        <v>44.37</v>
      </c>
      <c r="F109" t="n">
        <v>923919.4827586206</v>
      </c>
      <c r="G109" t="n">
        <v>1.06</v>
      </c>
      <c r="H109" t="n">
        <v>115.08</v>
      </c>
      <c r="I109" t="n">
        <v>51.06</v>
      </c>
    </row>
    <row r="110">
      <c r="A110">
        <f>HYPERLINK("https://www.tradingview.com/chart/?symbol=NSE:BUILDPRO","BUILDPRO")</f>
        <v/>
      </c>
      <c r="B110" t="n">
        <v>1298.4</v>
      </c>
      <c r="C110" t="n">
        <v>693539</v>
      </c>
      <c r="D110" t="n">
        <v>378115</v>
      </c>
      <c r="E110" t="n">
        <v>54.52</v>
      </c>
      <c r="F110" t="n">
        <v>43118.31034482759</v>
      </c>
      <c r="G110" t="n">
        <v>8.77</v>
      </c>
      <c r="H110" t="n">
        <v>90.05</v>
      </c>
      <c r="I110" t="n">
        <v>49.09</v>
      </c>
    </row>
    <row r="111">
      <c r="A111">
        <f>HYPERLINK("https://www.tradingview.com/chart/?symbol=NSE:TRITURBINE","TRITURBINE")</f>
        <v/>
      </c>
      <c r="B111" t="n">
        <v>616.7</v>
      </c>
      <c r="C111" t="n">
        <v>1367340</v>
      </c>
      <c r="D111" t="n">
        <v>787930</v>
      </c>
      <c r="E111" t="n">
        <v>57.63</v>
      </c>
      <c r="F111" t="n">
        <v>334196.5862068966</v>
      </c>
      <c r="G111" t="n">
        <v>2.36</v>
      </c>
      <c r="H111" t="n">
        <v>84.31999999999999</v>
      </c>
      <c r="I111" t="n">
        <v>48.59</v>
      </c>
    </row>
    <row r="112">
      <c r="A112">
        <f>HYPERLINK("https://www.tradingview.com/chart/?symbol=NSE:NIVABUPA","NIVABUPA")</f>
        <v/>
      </c>
      <c r="B112" t="n">
        <v>88.09</v>
      </c>
      <c r="C112" t="n">
        <v>7936816</v>
      </c>
      <c r="D112" t="n">
        <v>5435970</v>
      </c>
      <c r="E112" t="n">
        <v>68.48999999999999</v>
      </c>
      <c r="F112" t="n">
        <v>976594</v>
      </c>
      <c r="G112" t="n">
        <v>5.57</v>
      </c>
      <c r="H112" t="n">
        <v>69.92</v>
      </c>
      <c r="I112" t="n">
        <v>47.89</v>
      </c>
    </row>
    <row r="113">
      <c r="A113">
        <f>HYPERLINK("https://www.tradingview.com/chart/?symbol=NSE:BALRAMCHIN","BALRAMCHIN")</f>
        <v/>
      </c>
      <c r="B113" t="n">
        <v>584.85</v>
      </c>
      <c r="C113" t="n">
        <v>2714237</v>
      </c>
      <c r="D113" t="n">
        <v>810966</v>
      </c>
      <c r="E113" t="n">
        <v>29.88</v>
      </c>
      <c r="F113" t="n">
        <v>241389.9310344828</v>
      </c>
      <c r="G113" t="n">
        <v>3.36</v>
      </c>
      <c r="H113" t="n">
        <v>158.74</v>
      </c>
      <c r="I113" t="n">
        <v>47.43</v>
      </c>
    </row>
    <row r="114">
      <c r="A114">
        <f>HYPERLINK("https://www.tradingview.com/chart/?symbol=NSE:LIQUIDETF","LIQUIDETF")</f>
        <v/>
      </c>
      <c r="B114" t="n">
        <v>1000</v>
      </c>
      <c r="C114" t="n">
        <v>685324</v>
      </c>
      <c r="D114" t="n">
        <v>471942</v>
      </c>
      <c r="E114" t="n">
        <v>68.86</v>
      </c>
      <c r="F114" t="n">
        <v>175298.2068965517</v>
      </c>
      <c r="G114" t="n">
        <v>2.69</v>
      </c>
      <c r="H114" t="n">
        <v>68.53</v>
      </c>
      <c r="I114" t="n">
        <v>47.19</v>
      </c>
    </row>
    <row r="115">
      <c r="A115">
        <f>HYPERLINK("https://www.tradingview.com/chart/?symbol=NSE:SUPREMEIND","SUPREMEIND")</f>
        <v/>
      </c>
      <c r="B115" t="n">
        <v>3334.6</v>
      </c>
      <c r="C115" t="n">
        <v>209558</v>
      </c>
      <c r="D115" t="n">
        <v>137194</v>
      </c>
      <c r="E115" t="n">
        <v>65.47</v>
      </c>
      <c r="F115" t="n">
        <v>115341.8965517241</v>
      </c>
      <c r="G115" t="n">
        <v>1.19</v>
      </c>
      <c r="H115" t="n">
        <v>69.88</v>
      </c>
      <c r="I115" t="n">
        <v>45.75</v>
      </c>
    </row>
    <row r="116">
      <c r="A116">
        <f>HYPERLINK("https://www.tradingview.com/chart/?symbol=NSE:AEGISVOPAK","AEGISVOPAK")</f>
        <v/>
      </c>
      <c r="B116" t="n">
        <v>303.3</v>
      </c>
      <c r="C116" t="n">
        <v>5506049</v>
      </c>
      <c r="D116" t="n">
        <v>1498161</v>
      </c>
      <c r="E116" t="n">
        <v>27.21</v>
      </c>
      <c r="F116" t="n">
        <v>529137.2413793104</v>
      </c>
      <c r="G116" t="n">
        <v>2.83</v>
      </c>
      <c r="H116" t="n">
        <v>167</v>
      </c>
      <c r="I116" t="n">
        <v>45.44</v>
      </c>
    </row>
    <row r="117">
      <c r="A117">
        <f>HYPERLINK("https://www.tradingview.com/chart/?symbol=NSE:NAZARA","NAZARA")</f>
        <v/>
      </c>
      <c r="B117" t="n">
        <v>307.3</v>
      </c>
      <c r="C117" t="n">
        <v>3229735</v>
      </c>
      <c r="D117" t="n">
        <v>1475484</v>
      </c>
      <c r="E117" t="n">
        <v>45.68</v>
      </c>
      <c r="F117" t="n">
        <v>1025425.379310345</v>
      </c>
      <c r="G117" t="n">
        <v>1.44</v>
      </c>
      <c r="H117" t="n">
        <v>99.25</v>
      </c>
      <c r="I117" t="n">
        <v>45.34</v>
      </c>
    </row>
    <row r="118">
      <c r="A118">
        <f>HYPERLINK("https://www.tradingview.com/chart/?symbol=NSE:TBOTEK","TBOTEK")</f>
        <v/>
      </c>
      <c r="B118" t="n">
        <v>1504.1</v>
      </c>
      <c r="C118" t="n">
        <v>457278</v>
      </c>
      <c r="D118" t="n">
        <v>296349</v>
      </c>
      <c r="E118" t="n">
        <v>64.81</v>
      </c>
      <c r="F118" t="n">
        <v>131785.4827586207</v>
      </c>
      <c r="G118" t="n">
        <v>2.25</v>
      </c>
      <c r="H118" t="n">
        <v>68.78</v>
      </c>
      <c r="I118" t="n">
        <v>44.57</v>
      </c>
    </row>
    <row r="119">
      <c r="A119">
        <f>HYPERLINK("https://www.tradingview.com/chart/?symbol=NSE:LLOYDSME","LLOYDSME")</f>
        <v/>
      </c>
      <c r="B119" t="n">
        <v>1827.1</v>
      </c>
      <c r="C119" t="n">
        <v>444039</v>
      </c>
      <c r="D119" t="n">
        <v>240223</v>
      </c>
      <c r="E119" t="n">
        <v>54.1</v>
      </c>
      <c r="F119" t="n">
        <v>227101.9310344828</v>
      </c>
      <c r="G119" t="n">
        <v>1.06</v>
      </c>
      <c r="H119" t="n">
        <v>81.13</v>
      </c>
      <c r="I119" t="n">
        <v>43.89</v>
      </c>
    </row>
    <row r="120">
      <c r="A120">
        <f>HYPERLINK("https://www.tradingview.com/chart/?symbol=NSE:INOXWIND","INOXWIND")</f>
        <v/>
      </c>
      <c r="B120" t="n">
        <v>81.09</v>
      </c>
      <c r="C120" t="n">
        <v>12833126</v>
      </c>
      <c r="D120" t="n">
        <v>5308766</v>
      </c>
      <c r="E120" t="n">
        <v>41.37</v>
      </c>
      <c r="F120" t="n">
        <v>4509939.24137931</v>
      </c>
      <c r="G120" t="n">
        <v>1.18</v>
      </c>
      <c r="H120" t="n">
        <v>104.06</v>
      </c>
      <c r="I120" t="n">
        <v>43.05</v>
      </c>
    </row>
    <row r="121">
      <c r="A121">
        <f>HYPERLINK("https://www.tradingview.com/chart/?symbol=NSE:BLUESTARCO","BLUESTARCO")</f>
        <v/>
      </c>
      <c r="B121" t="n">
        <v>1716.1</v>
      </c>
      <c r="C121" t="n">
        <v>680248</v>
      </c>
      <c r="D121" t="n">
        <v>247006</v>
      </c>
      <c r="E121" t="n">
        <v>36.31</v>
      </c>
      <c r="F121" t="n">
        <v>167303.4827586207</v>
      </c>
      <c r="G121" t="n">
        <v>1.48</v>
      </c>
      <c r="H121" t="n">
        <v>116.74</v>
      </c>
      <c r="I121" t="n">
        <v>42.39</v>
      </c>
    </row>
    <row r="122">
      <c r="A122">
        <f>HYPERLINK("https://www.tradingview.com/chart/?symbol=NSE:CANHLIFE","CANHLIFE")</f>
        <v/>
      </c>
      <c r="B122" t="n">
        <v>147.3</v>
      </c>
      <c r="C122" t="n">
        <v>25473742</v>
      </c>
      <c r="D122" t="n">
        <v>2791944</v>
      </c>
      <c r="E122" t="n">
        <v>10.96</v>
      </c>
      <c r="F122" t="n">
        <v>425303.5862068966</v>
      </c>
      <c r="G122" t="n">
        <v>6.56</v>
      </c>
      <c r="H122" t="n">
        <v>375.23</v>
      </c>
      <c r="I122" t="n">
        <v>41.13</v>
      </c>
    </row>
    <row r="123">
      <c r="A123">
        <f>HYPERLINK("https://www.tradingview.com/chart/?symbol=NSE:INTELLECT","INTELLECT")</f>
        <v/>
      </c>
      <c r="B123" t="n">
        <v>778.3</v>
      </c>
      <c r="C123" t="n">
        <v>1094736</v>
      </c>
      <c r="D123" t="n">
        <v>514126</v>
      </c>
      <c r="E123" t="n">
        <v>46.96</v>
      </c>
      <c r="F123" t="n">
        <v>192309.724137931</v>
      </c>
      <c r="G123" t="n">
        <v>2.67</v>
      </c>
      <c r="H123" t="n">
        <v>85.2</v>
      </c>
      <c r="I123" t="n">
        <v>40.01</v>
      </c>
    </row>
    <row r="124">
      <c r="A124">
        <f>HYPERLINK("https://www.tradingview.com/chart/?symbol=NSE:ICRA","ICRA")</f>
        <v/>
      </c>
      <c r="B124" t="n">
        <v>5284</v>
      </c>
      <c r="C124" t="n">
        <v>105622</v>
      </c>
      <c r="D124" t="n">
        <v>75357</v>
      </c>
      <c r="E124" t="n">
        <v>71.34999999999999</v>
      </c>
      <c r="F124" t="n">
        <v>10304</v>
      </c>
      <c r="G124" t="n">
        <v>7.31</v>
      </c>
      <c r="H124" t="n">
        <v>55.81</v>
      </c>
      <c r="I124" t="n">
        <v>39.82</v>
      </c>
    </row>
    <row r="125">
      <c r="A125">
        <f>HYPERLINK("https://www.tradingview.com/chart/?symbol=NSE:ABSLAMC","ABSLAMC")</f>
        <v/>
      </c>
      <c r="B125" t="n">
        <v>1173.7</v>
      </c>
      <c r="C125" t="n">
        <v>511637</v>
      </c>
      <c r="D125" t="n">
        <v>329597</v>
      </c>
      <c r="E125" t="n">
        <v>64.42</v>
      </c>
      <c r="F125" t="n">
        <v>256130.275862069</v>
      </c>
      <c r="G125" t="n">
        <v>1.29</v>
      </c>
      <c r="H125" t="n">
        <v>60.05</v>
      </c>
      <c r="I125" t="n">
        <v>38.68</v>
      </c>
    </row>
    <row r="126">
      <c r="A126">
        <f>HYPERLINK("https://www.tradingview.com/chart/?symbol=NSE:MOBIKWIK","MOBIKWIK")</f>
        <v/>
      </c>
      <c r="B126" t="n">
        <v>225.29</v>
      </c>
      <c r="C126" t="n">
        <v>6495943</v>
      </c>
      <c r="D126" t="n">
        <v>1707190</v>
      </c>
      <c r="E126" t="n">
        <v>26.28</v>
      </c>
      <c r="F126" t="n">
        <v>407990.3793103448</v>
      </c>
      <c r="G126" t="n">
        <v>4.18</v>
      </c>
      <c r="H126" t="n">
        <v>146.35</v>
      </c>
      <c r="I126" t="n">
        <v>38.46</v>
      </c>
    </row>
    <row r="127">
      <c r="A127">
        <f>HYPERLINK("https://www.tradingview.com/chart/?symbol=NSE:IONEXCHANG","IONEXCHANG")</f>
        <v/>
      </c>
      <c r="B127" t="n">
        <v>451.7</v>
      </c>
      <c r="C127" t="n">
        <v>3306583</v>
      </c>
      <c r="D127" t="n">
        <v>841525</v>
      </c>
      <c r="E127" t="n">
        <v>25.45</v>
      </c>
      <c r="F127" t="n">
        <v>329185.2413793103</v>
      </c>
      <c r="G127" t="n">
        <v>2.56</v>
      </c>
      <c r="H127" t="n">
        <v>149.36</v>
      </c>
      <c r="I127" t="n">
        <v>38.01</v>
      </c>
    </row>
    <row r="128">
      <c r="A128">
        <f>HYPERLINK("https://www.tradingview.com/chart/?symbol=NSE:RAYMONDREL","RAYMONDREL")</f>
        <v/>
      </c>
      <c r="B128" t="n">
        <v>722.75</v>
      </c>
      <c r="C128" t="n">
        <v>1542748</v>
      </c>
      <c r="D128" t="n">
        <v>522217</v>
      </c>
      <c r="E128" t="n">
        <v>33.85</v>
      </c>
      <c r="F128" t="n">
        <v>300543.7586206897</v>
      </c>
      <c r="G128" t="n">
        <v>1.74</v>
      </c>
      <c r="H128" t="n">
        <v>111.5</v>
      </c>
      <c r="I128" t="n">
        <v>37.74</v>
      </c>
    </row>
    <row r="129">
      <c r="A129">
        <f>HYPERLINK("https://www.tradingview.com/chart/?symbol=NSE:ROUTE","ROUTE")</f>
        <v/>
      </c>
      <c r="B129" t="n">
        <v>582.85</v>
      </c>
      <c r="C129" t="n">
        <v>2194753</v>
      </c>
      <c r="D129" t="n">
        <v>646178</v>
      </c>
      <c r="E129" t="n">
        <v>29.44</v>
      </c>
      <c r="F129" t="n">
        <v>72682.3448275862</v>
      </c>
      <c r="G129" t="n">
        <v>8.890000000000001</v>
      </c>
      <c r="H129" t="n">
        <v>127.92</v>
      </c>
      <c r="I129" t="n">
        <v>37.66</v>
      </c>
    </row>
    <row r="130">
      <c r="A130">
        <f>HYPERLINK("https://www.tradingview.com/chart/?symbol=NSE:MOTILALOFS","MOTILALOFS")</f>
        <v/>
      </c>
      <c r="B130" t="n">
        <v>982.85</v>
      </c>
      <c r="C130" t="n">
        <v>835312</v>
      </c>
      <c r="D130" t="n">
        <v>382208</v>
      </c>
      <c r="E130" t="n">
        <v>45.76</v>
      </c>
      <c r="F130" t="n">
        <v>339783.5172413793</v>
      </c>
      <c r="G130" t="n">
        <v>1.12</v>
      </c>
      <c r="H130" t="n">
        <v>82.09999999999999</v>
      </c>
      <c r="I130" t="n">
        <v>37.57</v>
      </c>
    </row>
    <row r="131">
      <c r="A131">
        <f>HYPERLINK("https://www.tradingview.com/chart/?symbol=NSE:ASHAPURMIN","ASHAPURMIN")</f>
        <v/>
      </c>
      <c r="B131" t="n">
        <v>703.5</v>
      </c>
      <c r="C131" t="n">
        <v>1451484</v>
      </c>
      <c r="D131" t="n">
        <v>532124</v>
      </c>
      <c r="E131" t="n">
        <v>36.66</v>
      </c>
      <c r="F131" t="n">
        <v>179081.1724137931</v>
      </c>
      <c r="G131" t="n">
        <v>2.97</v>
      </c>
      <c r="H131" t="n">
        <v>102.11</v>
      </c>
      <c r="I131" t="n">
        <v>37.43</v>
      </c>
    </row>
    <row r="132">
      <c r="A132">
        <f>HYPERLINK("https://www.tradingview.com/chart/?symbol=NSE:KISSHT","KISSHT")</f>
        <v/>
      </c>
      <c r="B132" t="n">
        <v>324.85</v>
      </c>
      <c r="C132" t="n">
        <v>2789052</v>
      </c>
      <c r="D132" t="n">
        <v>1151052</v>
      </c>
      <c r="E132" t="n">
        <v>41.27</v>
      </c>
      <c r="F132" t="n">
        <v>926859.8965517242</v>
      </c>
      <c r="G132" t="n">
        <v>1.24</v>
      </c>
      <c r="H132" t="n">
        <v>90.59999999999999</v>
      </c>
      <c r="I132" t="n">
        <v>37.39</v>
      </c>
    </row>
    <row r="133">
      <c r="A133">
        <f>HYPERLINK("https://www.tradingview.com/chart/?symbol=NSE:TFCILTD","TFCILTD")</f>
        <v/>
      </c>
      <c r="B133" t="n">
        <v>80.81</v>
      </c>
      <c r="C133" t="n">
        <v>19615653</v>
      </c>
      <c r="D133" t="n">
        <v>4450071</v>
      </c>
      <c r="E133" t="n">
        <v>22.69</v>
      </c>
      <c r="F133" t="n">
        <v>2978329.482758621</v>
      </c>
      <c r="G133" t="n">
        <v>1.49</v>
      </c>
      <c r="H133" t="n">
        <v>158.51</v>
      </c>
      <c r="I133" t="n">
        <v>35.96</v>
      </c>
    </row>
    <row r="134">
      <c r="A134">
        <f>HYPERLINK("https://www.tradingview.com/chart/?symbol=NSE:SAILIFE","SAILIFE")</f>
        <v/>
      </c>
      <c r="B134" t="n">
        <v>1272.1</v>
      </c>
      <c r="C134" t="n">
        <v>548445</v>
      </c>
      <c r="D134" t="n">
        <v>278336</v>
      </c>
      <c r="E134" t="n">
        <v>50.75</v>
      </c>
      <c r="F134" t="n">
        <v>242767.8275862069</v>
      </c>
      <c r="G134" t="n">
        <v>1.15</v>
      </c>
      <c r="H134" t="n">
        <v>69.77</v>
      </c>
      <c r="I134" t="n">
        <v>35.41</v>
      </c>
    </row>
    <row r="135">
      <c r="A135">
        <f>HYPERLINK("https://www.tradingview.com/chart/?symbol=NSE:HUDCO","HUDCO")</f>
        <v/>
      </c>
      <c r="B135" t="n">
        <v>210.24</v>
      </c>
      <c r="C135" t="n">
        <v>4766154</v>
      </c>
      <c r="D135" t="n">
        <v>1674390</v>
      </c>
      <c r="E135" t="n">
        <v>35.13</v>
      </c>
      <c r="F135" t="n">
        <v>1127980.896551724</v>
      </c>
      <c r="G135" t="n">
        <v>1.48</v>
      </c>
      <c r="H135" t="n">
        <v>100.2</v>
      </c>
      <c r="I135" t="n">
        <v>35.2</v>
      </c>
    </row>
    <row r="136">
      <c r="A136">
        <f>HYPERLINK("https://www.tradingview.com/chart/?symbol=NSE:63MOONS","63MOONS")</f>
        <v/>
      </c>
      <c r="B136" t="n">
        <v>734.2</v>
      </c>
      <c r="C136" t="n">
        <v>2952586</v>
      </c>
      <c r="D136" t="n">
        <v>465421</v>
      </c>
      <c r="E136" t="n">
        <v>15.76</v>
      </c>
      <c r="F136" t="n">
        <v>74921</v>
      </c>
      <c r="G136" t="n">
        <v>6.21</v>
      </c>
      <c r="H136" t="n">
        <v>216.78</v>
      </c>
      <c r="I136" t="n">
        <v>34.17</v>
      </c>
    </row>
    <row r="137">
      <c r="A137">
        <f>HYPERLINK("https://www.tradingview.com/chart/?symbol=NSE:BAJAJHLDNG","BAJAJHLDNG")</f>
        <v/>
      </c>
      <c r="B137" t="n">
        <v>10752</v>
      </c>
      <c r="C137" t="n">
        <v>83705</v>
      </c>
      <c r="D137" t="n">
        <v>31752</v>
      </c>
      <c r="E137" t="n">
        <v>37.93</v>
      </c>
      <c r="F137" t="n">
        <v>24647.10344827586</v>
      </c>
      <c r="G137" t="n">
        <v>1.29</v>
      </c>
      <c r="H137" t="n">
        <v>90</v>
      </c>
      <c r="I137" t="n">
        <v>34.14</v>
      </c>
    </row>
    <row r="138">
      <c r="A138">
        <f>HYPERLINK("https://www.tradingview.com/chart/?symbol=NSE:TRIVENI","TRIVENI")</f>
        <v/>
      </c>
      <c r="B138" t="n">
        <v>477.15</v>
      </c>
      <c r="C138" t="n">
        <v>1917837</v>
      </c>
      <c r="D138" t="n">
        <v>711610</v>
      </c>
      <c r="E138" t="n">
        <v>37.1</v>
      </c>
      <c r="F138" t="n">
        <v>257403.4827586207</v>
      </c>
      <c r="G138" t="n">
        <v>2.76</v>
      </c>
      <c r="H138" t="n">
        <v>91.51000000000001</v>
      </c>
      <c r="I138" t="n">
        <v>33.95</v>
      </c>
    </row>
    <row r="139">
      <c r="A139">
        <f>HYPERLINK("https://www.tradingview.com/chart/?symbol=NSE:JSWCEMENT","JSWCEMENT")</f>
        <v/>
      </c>
      <c r="B139" t="n">
        <v>138.29</v>
      </c>
      <c r="C139" t="n">
        <v>3029827</v>
      </c>
      <c r="D139" t="n">
        <v>2443383</v>
      </c>
      <c r="E139" t="n">
        <v>80.64</v>
      </c>
      <c r="F139" t="n">
        <v>1275587</v>
      </c>
      <c r="G139" t="n">
        <v>1.92</v>
      </c>
      <c r="H139" t="n">
        <v>41.9</v>
      </c>
      <c r="I139" t="n">
        <v>33.79</v>
      </c>
    </row>
    <row r="140">
      <c r="A140">
        <f>HYPERLINK("https://www.tradingview.com/chart/?symbol=NSE:RAMCOSYS","RAMCOSYS")</f>
        <v/>
      </c>
      <c r="B140" t="n">
        <v>886.15</v>
      </c>
      <c r="C140" t="n">
        <v>2369609</v>
      </c>
      <c r="D140" t="n">
        <v>372050</v>
      </c>
      <c r="E140" t="n">
        <v>15.7</v>
      </c>
      <c r="F140" t="n">
        <v>355061.724137931</v>
      </c>
      <c r="G140" t="n">
        <v>1.05</v>
      </c>
      <c r="H140" t="n">
        <v>209.98</v>
      </c>
      <c r="I140" t="n">
        <v>32.97</v>
      </c>
    </row>
    <row r="141">
      <c r="A141">
        <f>HYPERLINK("https://www.tradingview.com/chart/?symbol=NSE:CHOICEIN","CHOICEIN")</f>
        <v/>
      </c>
      <c r="B141" t="n">
        <v>820.15</v>
      </c>
      <c r="C141" t="n">
        <v>948142</v>
      </c>
      <c r="D141" t="n">
        <v>394964</v>
      </c>
      <c r="E141" t="n">
        <v>41.66</v>
      </c>
      <c r="F141" t="n">
        <v>361263.7586206897</v>
      </c>
      <c r="G141" t="n">
        <v>1.09</v>
      </c>
      <c r="H141" t="n">
        <v>77.76000000000001</v>
      </c>
      <c r="I141" t="n">
        <v>32.39</v>
      </c>
    </row>
    <row r="142">
      <c r="A142">
        <f>HYPERLINK("https://www.tradingview.com/chart/?symbol=NSE:FINOPB","FINOPB")</f>
        <v/>
      </c>
      <c r="B142" t="n">
        <v>161.33</v>
      </c>
      <c r="C142" t="n">
        <v>29573133</v>
      </c>
      <c r="D142" t="n">
        <v>1995751</v>
      </c>
      <c r="E142" t="n">
        <v>6.75</v>
      </c>
      <c r="F142" t="n">
        <v>171139.9310344828</v>
      </c>
      <c r="G142" t="n">
        <v>11.66</v>
      </c>
      <c r="H142" t="n">
        <v>477.1</v>
      </c>
      <c r="I142" t="n">
        <v>32.2</v>
      </c>
    </row>
    <row r="143">
      <c r="A143">
        <f>HYPERLINK("https://www.tradingview.com/chart/?symbol=NSE:SFL","SFL")</f>
        <v/>
      </c>
      <c r="B143" t="n">
        <v>806.95</v>
      </c>
      <c r="C143" t="n">
        <v>1050915</v>
      </c>
      <c r="D143" t="n">
        <v>395014</v>
      </c>
      <c r="E143" t="n">
        <v>37.59</v>
      </c>
      <c r="F143" t="n">
        <v>133336.7931034483</v>
      </c>
      <c r="G143" t="n">
        <v>2.96</v>
      </c>
      <c r="H143" t="n">
        <v>84.8</v>
      </c>
      <c r="I143" t="n">
        <v>31.88</v>
      </c>
    </row>
    <row r="144">
      <c r="A144">
        <f>HYPERLINK("https://www.tradingview.com/chart/?symbol=NSE:GREAVESCOT","GREAVESCOT")</f>
        <v/>
      </c>
      <c r="B144" t="n">
        <v>262.17</v>
      </c>
      <c r="C144" t="n">
        <v>4321691</v>
      </c>
      <c r="D144" t="n">
        <v>1215177</v>
      </c>
      <c r="E144" t="n">
        <v>28.12</v>
      </c>
      <c r="F144" t="n">
        <v>1081355.620689655</v>
      </c>
      <c r="G144" t="n">
        <v>1.12</v>
      </c>
      <c r="H144" t="n">
        <v>113.3</v>
      </c>
      <c r="I144" t="n">
        <v>31.86</v>
      </c>
    </row>
    <row r="145">
      <c r="A145">
        <f>HYPERLINK("https://www.tradingview.com/chart/?symbol=NSE:LTTS","LTTS")</f>
        <v/>
      </c>
      <c r="B145" t="n">
        <v>3297.7</v>
      </c>
      <c r="C145" t="n">
        <v>211418</v>
      </c>
      <c r="D145" t="n">
        <v>95013</v>
      </c>
      <c r="E145" t="n">
        <v>44.94</v>
      </c>
      <c r="F145" t="n">
        <v>54722.03448275862</v>
      </c>
      <c r="G145" t="n">
        <v>1.74</v>
      </c>
      <c r="H145" t="n">
        <v>69.72</v>
      </c>
      <c r="I145" t="n">
        <v>31.33</v>
      </c>
    </row>
    <row r="146">
      <c r="A146">
        <f>HYPERLINK("https://www.tradingview.com/chart/?symbol=NSE:STARHEALTH","STARHEALTH")</f>
        <v/>
      </c>
      <c r="B146" t="n">
        <v>599.75</v>
      </c>
      <c r="C146" t="n">
        <v>719531</v>
      </c>
      <c r="D146" t="n">
        <v>521458</v>
      </c>
      <c r="E146" t="n">
        <v>72.47</v>
      </c>
      <c r="F146" t="n">
        <v>369126.9310344828</v>
      </c>
      <c r="G146" t="n">
        <v>1.41</v>
      </c>
      <c r="H146" t="n">
        <v>43.15</v>
      </c>
      <c r="I146" t="n">
        <v>31.27</v>
      </c>
    </row>
    <row r="147">
      <c r="A147">
        <f>HYPERLINK("https://www.tradingview.com/chart/?symbol=NSE:IPCALAB","IPCALAB")</f>
        <v/>
      </c>
      <c r="B147" t="n">
        <v>1823.3</v>
      </c>
      <c r="C147" t="n">
        <v>341668</v>
      </c>
      <c r="D147" t="n">
        <v>169749</v>
      </c>
      <c r="E147" t="n">
        <v>49.68</v>
      </c>
      <c r="F147" t="n">
        <v>138313.2413793103</v>
      </c>
      <c r="G147" t="n">
        <v>1.23</v>
      </c>
      <c r="H147" t="n">
        <v>62.3</v>
      </c>
      <c r="I147" t="n">
        <v>30.95</v>
      </c>
    </row>
    <row r="148">
      <c r="A148">
        <f>HYPERLINK("https://www.tradingview.com/chart/?symbol=NSE:BLUEJET","BLUEJET")</f>
        <v/>
      </c>
      <c r="B148" t="n">
        <v>606.3</v>
      </c>
      <c r="C148" t="n">
        <v>1288914</v>
      </c>
      <c r="D148" t="n">
        <v>504408</v>
      </c>
      <c r="E148" t="n">
        <v>39.13</v>
      </c>
      <c r="F148" t="n">
        <v>314992.5517241379</v>
      </c>
      <c r="G148" t="n">
        <v>1.6</v>
      </c>
      <c r="H148" t="n">
        <v>78.15000000000001</v>
      </c>
      <c r="I148" t="n">
        <v>30.58</v>
      </c>
    </row>
    <row r="149">
      <c r="A149">
        <f>HYPERLINK("https://www.tradingview.com/chart/?symbol=NSE:MOREPENLAB","MOREPENLAB")</f>
        <v/>
      </c>
      <c r="B149" t="n">
        <v>62.29</v>
      </c>
      <c r="C149" t="n">
        <v>15187668</v>
      </c>
      <c r="D149" t="n">
        <v>4867086</v>
      </c>
      <c r="E149" t="n">
        <v>32.05</v>
      </c>
      <c r="F149" t="n">
        <v>4062754</v>
      </c>
      <c r="G149" t="n">
        <v>1.2</v>
      </c>
      <c r="H149" t="n">
        <v>94.59999999999999</v>
      </c>
      <c r="I149" t="n">
        <v>30.32</v>
      </c>
    </row>
    <row r="150">
      <c r="A150">
        <f>HYPERLINK("https://www.tradingview.com/chart/?symbol=NSE:BFUTILITIE","BFUTILITIE")</f>
        <v/>
      </c>
      <c r="B150" t="n">
        <v>672.55</v>
      </c>
      <c r="C150" t="n">
        <v>4308780</v>
      </c>
      <c r="D150" t="n">
        <v>445674</v>
      </c>
      <c r="E150" t="n">
        <v>10.34</v>
      </c>
      <c r="F150" t="n">
        <v>54750.37931034483</v>
      </c>
      <c r="G150" t="n">
        <v>8.140000000000001</v>
      </c>
      <c r="H150" t="n">
        <v>289.79</v>
      </c>
      <c r="I150" t="n">
        <v>29.97</v>
      </c>
    </row>
    <row r="151">
      <c r="A151">
        <f>HYPERLINK("https://www.tradingview.com/chart/?symbol=NSE:JSFB","JSFB")</f>
        <v/>
      </c>
      <c r="B151" t="n">
        <v>486.75</v>
      </c>
      <c r="C151" t="n">
        <v>1076817</v>
      </c>
      <c r="D151" t="n">
        <v>611306</v>
      </c>
      <c r="E151" t="n">
        <v>56.77</v>
      </c>
      <c r="F151" t="n">
        <v>346074.3448275862</v>
      </c>
      <c r="G151" t="n">
        <v>1.77</v>
      </c>
      <c r="H151" t="n">
        <v>52.41</v>
      </c>
      <c r="I151" t="n">
        <v>29.76</v>
      </c>
    </row>
    <row r="152">
      <c r="A152">
        <f>HYPERLINK("https://www.tradingview.com/chart/?symbol=NSE:FLUOROCHEM","FLUOROCHEM")</f>
        <v/>
      </c>
      <c r="B152" t="n">
        <v>3899.3</v>
      </c>
      <c r="C152" t="n">
        <v>112109</v>
      </c>
      <c r="D152" t="n">
        <v>76065</v>
      </c>
      <c r="E152" t="n">
        <v>67.84999999999999</v>
      </c>
      <c r="F152" t="n">
        <v>58768.68965517241</v>
      </c>
      <c r="G152" t="n">
        <v>1.29</v>
      </c>
      <c r="H152" t="n">
        <v>43.71</v>
      </c>
      <c r="I152" t="n">
        <v>29.66</v>
      </c>
    </row>
    <row r="153">
      <c r="A153">
        <f>HYPERLINK("https://www.tradingview.com/chart/?symbol=NSE:CREDITACC","CREDITACC")</f>
        <v/>
      </c>
      <c r="B153" t="n">
        <v>1540.2</v>
      </c>
      <c r="C153" t="n">
        <v>294066</v>
      </c>
      <c r="D153" t="n">
        <v>192158</v>
      </c>
      <c r="E153" t="n">
        <v>65.34999999999999</v>
      </c>
      <c r="F153" t="n">
        <v>141759.5172413793</v>
      </c>
      <c r="G153" t="n">
        <v>1.36</v>
      </c>
      <c r="H153" t="n">
        <v>45.29</v>
      </c>
      <c r="I153" t="n">
        <v>29.6</v>
      </c>
    </row>
    <row r="154">
      <c r="A154">
        <f>HYPERLINK("https://www.tradingview.com/chart/?symbol=NSE:TORNTPOWER","TORNTPOWER")</f>
        <v/>
      </c>
      <c r="B154" t="n">
        <v>1441.9</v>
      </c>
      <c r="C154" t="n">
        <v>311359</v>
      </c>
      <c r="D154" t="n">
        <v>204364</v>
      </c>
      <c r="E154" t="n">
        <v>65.64</v>
      </c>
      <c r="F154" t="n">
        <v>180045.0689655172</v>
      </c>
      <c r="G154" t="n">
        <v>1.14</v>
      </c>
      <c r="H154" t="n">
        <v>44.89</v>
      </c>
      <c r="I154" t="n">
        <v>29.47</v>
      </c>
    </row>
    <row r="155">
      <c r="A155">
        <f>HYPERLINK("https://www.tradingview.com/chart/?symbol=NSE:PACEDIGITK","PACEDIGITK")</f>
        <v/>
      </c>
      <c r="B155" t="n">
        <v>212.24</v>
      </c>
      <c r="C155" t="n">
        <v>3156551</v>
      </c>
      <c r="D155" t="n">
        <v>1386648</v>
      </c>
      <c r="E155" t="n">
        <v>43.93</v>
      </c>
      <c r="F155" t="n">
        <v>1037896.310344828</v>
      </c>
      <c r="G155" t="n">
        <v>1.34</v>
      </c>
      <c r="H155" t="n">
        <v>66.98999999999999</v>
      </c>
      <c r="I155" t="n">
        <v>29.43</v>
      </c>
    </row>
    <row r="156">
      <c r="A156">
        <f>HYPERLINK("https://www.tradingview.com/chart/?symbol=NSE:CYIENT","CYIENT")</f>
        <v/>
      </c>
      <c r="B156" t="n">
        <v>867.4</v>
      </c>
      <c r="C156" t="n">
        <v>612036</v>
      </c>
      <c r="D156" t="n">
        <v>332173</v>
      </c>
      <c r="E156" t="n">
        <v>54.27</v>
      </c>
      <c r="F156" t="n">
        <v>259523.0344827586</v>
      </c>
      <c r="G156" t="n">
        <v>1.28</v>
      </c>
      <c r="H156" t="n">
        <v>53.09</v>
      </c>
      <c r="I156" t="n">
        <v>28.81</v>
      </c>
    </row>
    <row r="157">
      <c r="A157">
        <f>HYPERLINK("https://www.tradingview.com/chart/?symbol=NSE:TANLA","TANLA")</f>
        <v/>
      </c>
      <c r="B157" t="n">
        <v>569.55</v>
      </c>
      <c r="C157" t="n">
        <v>1578738</v>
      </c>
      <c r="D157" t="n">
        <v>503136</v>
      </c>
      <c r="E157" t="n">
        <v>31.87</v>
      </c>
      <c r="F157" t="n">
        <v>159424.2413793103</v>
      </c>
      <c r="G157" t="n">
        <v>3.16</v>
      </c>
      <c r="H157" t="n">
        <v>89.92</v>
      </c>
      <c r="I157" t="n">
        <v>28.66</v>
      </c>
    </row>
    <row r="158">
      <c r="A158">
        <f>HYPERLINK("https://www.tradingview.com/chart/?symbol=NSE:UTLSOLAR","UTLSOLAR")</f>
        <v/>
      </c>
      <c r="B158" t="n">
        <v>401.1</v>
      </c>
      <c r="C158" t="n">
        <v>1388192</v>
      </c>
      <c r="D158" t="n">
        <v>710524</v>
      </c>
      <c r="E158" t="n">
        <v>51.18</v>
      </c>
      <c r="F158" t="n">
        <v>270007.1818181818</v>
      </c>
      <c r="G158" t="n">
        <v>2.63</v>
      </c>
      <c r="H158" t="n">
        <v>55.68</v>
      </c>
      <c r="I158" t="n">
        <v>28.5</v>
      </c>
    </row>
    <row r="159">
      <c r="A159">
        <f>HYPERLINK("https://www.tradingview.com/chart/?symbol=NSE:SUMICHEM","SUMICHEM")</f>
        <v/>
      </c>
      <c r="B159" t="n">
        <v>531.9</v>
      </c>
      <c r="C159" t="n">
        <v>2041964</v>
      </c>
      <c r="D159" t="n">
        <v>529688</v>
      </c>
      <c r="E159" t="n">
        <v>25.94</v>
      </c>
      <c r="F159" t="n">
        <v>329053.7586206897</v>
      </c>
      <c r="G159" t="n">
        <v>1.61</v>
      </c>
      <c r="H159" t="n">
        <v>108.61</v>
      </c>
      <c r="I159" t="n">
        <v>28.17</v>
      </c>
    </row>
    <row r="160">
      <c r="A160">
        <f>HYPERLINK("https://www.tradingview.com/chart/?symbol=NSE:GRAVITA","GRAVITA")</f>
        <v/>
      </c>
      <c r="B160" t="n">
        <v>1846</v>
      </c>
      <c r="C160" t="n">
        <v>302017</v>
      </c>
      <c r="D160" t="n">
        <v>152348</v>
      </c>
      <c r="E160" t="n">
        <v>50.44</v>
      </c>
      <c r="F160" t="n">
        <v>111289.3793103448</v>
      </c>
      <c r="G160" t="n">
        <v>1.37</v>
      </c>
      <c r="H160" t="n">
        <v>55.75</v>
      </c>
      <c r="I160" t="n">
        <v>28.12</v>
      </c>
    </row>
    <row r="161">
      <c r="A161">
        <f>HYPERLINK("https://www.tradingview.com/chart/?symbol=NSE:BFINVEST","BFINVEST")</f>
        <v/>
      </c>
      <c r="B161" t="n">
        <v>535.25</v>
      </c>
      <c r="C161" t="n">
        <v>4370896</v>
      </c>
      <c r="D161" t="n">
        <v>523177</v>
      </c>
      <c r="E161" t="n">
        <v>11.97</v>
      </c>
      <c r="F161" t="n">
        <v>21580.20689655172</v>
      </c>
      <c r="G161" t="n">
        <v>24.24</v>
      </c>
      <c r="H161" t="n">
        <v>233.95</v>
      </c>
      <c r="I161" t="n">
        <v>28</v>
      </c>
    </row>
    <row r="162">
      <c r="A162">
        <f>HYPERLINK("https://www.tradingview.com/chart/?symbol=NSE:AIAENG","AIAENG")</f>
        <v/>
      </c>
      <c r="B162" t="n">
        <v>4732</v>
      </c>
      <c r="C162" t="n">
        <v>113543</v>
      </c>
      <c r="D162" t="n">
        <v>58486</v>
      </c>
      <c r="E162" t="n">
        <v>51.51</v>
      </c>
      <c r="F162" t="n">
        <v>58081.68965517241</v>
      </c>
      <c r="G162" t="n">
        <v>1.01</v>
      </c>
      <c r="H162" t="n">
        <v>53.73</v>
      </c>
      <c r="I162" t="n">
        <v>27.68</v>
      </c>
    </row>
    <row r="163">
      <c r="A163">
        <f>HYPERLINK("https://www.tradingview.com/chart/?symbol=NSE:GNA","GNA")</f>
        <v/>
      </c>
      <c r="B163" t="n">
        <v>529.25</v>
      </c>
      <c r="C163" t="n">
        <v>2017627</v>
      </c>
      <c r="D163" t="n">
        <v>522587</v>
      </c>
      <c r="E163" t="n">
        <v>25.9</v>
      </c>
      <c r="F163" t="n">
        <v>150439.4827586207</v>
      </c>
      <c r="G163" t="n">
        <v>3.47</v>
      </c>
      <c r="H163" t="n">
        <v>106.78</v>
      </c>
      <c r="I163" t="n">
        <v>27.66</v>
      </c>
    </row>
    <row r="164">
      <c r="A164">
        <f>HYPERLINK("https://www.tradingview.com/chart/?symbol=NSE:BEML","BEML")</f>
        <v/>
      </c>
      <c r="B164" t="n">
        <v>1885.9</v>
      </c>
      <c r="C164" t="n">
        <v>317539</v>
      </c>
      <c r="D164" t="n">
        <v>145996</v>
      </c>
      <c r="E164" t="n">
        <v>45.98</v>
      </c>
      <c r="F164" t="n">
        <v>111644.0344827586</v>
      </c>
      <c r="G164" t="n">
        <v>1.31</v>
      </c>
      <c r="H164" t="n">
        <v>59.88</v>
      </c>
      <c r="I164" t="n">
        <v>27.53</v>
      </c>
    </row>
    <row r="165">
      <c r="A165">
        <f>HYPERLINK("https://www.tradingview.com/chart/?symbol=NSE:ARKADE","ARKADE")</f>
        <v/>
      </c>
      <c r="B165" t="n">
        <v>140.85</v>
      </c>
      <c r="C165" t="n">
        <v>4253544</v>
      </c>
      <c r="D165" t="n">
        <v>1944731</v>
      </c>
      <c r="E165" t="n">
        <v>45.72</v>
      </c>
      <c r="F165" t="n">
        <v>137100.6206896552</v>
      </c>
      <c r="G165" t="n">
        <v>14.18</v>
      </c>
      <c r="H165" t="n">
        <v>59.91</v>
      </c>
      <c r="I165" t="n">
        <v>27.39</v>
      </c>
    </row>
    <row r="166">
      <c r="A166">
        <f>HYPERLINK("https://www.tradingview.com/chart/?symbol=NSE:LLOYDSENT","LLOYDSENT")</f>
        <v/>
      </c>
      <c r="B166" t="n">
        <v>78.87</v>
      </c>
      <c r="C166" t="n">
        <v>13773992</v>
      </c>
      <c r="D166" t="n">
        <v>3470731</v>
      </c>
      <c r="E166" t="n">
        <v>25.2</v>
      </c>
      <c r="F166" t="n">
        <v>1784144.482758621</v>
      </c>
      <c r="G166" t="n">
        <v>1.95</v>
      </c>
      <c r="H166" t="n">
        <v>108.64</v>
      </c>
      <c r="I166" t="n">
        <v>27.37</v>
      </c>
    </row>
    <row r="167">
      <c r="A167">
        <f>HYPERLINK("https://www.tradingview.com/chart/?symbol=NSE:GABRIEL","GABRIEL")</f>
        <v/>
      </c>
      <c r="B167" t="n">
        <v>1265</v>
      </c>
      <c r="C167" t="n">
        <v>431128</v>
      </c>
      <c r="D167" t="n">
        <v>215381</v>
      </c>
      <c r="E167" t="n">
        <v>49.96</v>
      </c>
      <c r="F167" t="n">
        <v>171146.1724137931</v>
      </c>
      <c r="G167" t="n">
        <v>1.26</v>
      </c>
      <c r="H167" t="n">
        <v>54.54</v>
      </c>
      <c r="I167" t="n">
        <v>27.25</v>
      </c>
    </row>
    <row r="168">
      <c r="A168">
        <f>HYPERLINK("https://www.tradingview.com/chart/?symbol=NSE:SAKSOFT","SAKSOFT")</f>
        <v/>
      </c>
      <c r="B168" t="n">
        <v>185.02</v>
      </c>
      <c r="C168" t="n">
        <v>8883598</v>
      </c>
      <c r="D168" t="n">
        <v>1460896</v>
      </c>
      <c r="E168" t="n">
        <v>16.44</v>
      </c>
      <c r="F168" t="n">
        <v>689520.551724138</v>
      </c>
      <c r="G168" t="n">
        <v>2.12</v>
      </c>
      <c r="H168" t="n">
        <v>164.36</v>
      </c>
      <c r="I168" t="n">
        <v>27.03</v>
      </c>
    </row>
    <row r="169">
      <c r="A169">
        <f>HYPERLINK("https://www.tradingview.com/chart/?symbol=NSE:JUBLINGREA","JUBLINGREA")</f>
        <v/>
      </c>
      <c r="B169" t="n">
        <v>733.2</v>
      </c>
      <c r="C169" t="n">
        <v>564074</v>
      </c>
      <c r="D169" t="n">
        <v>367341</v>
      </c>
      <c r="E169" t="n">
        <v>65.12</v>
      </c>
      <c r="F169" t="n">
        <v>199038.3793103448</v>
      </c>
      <c r="G169" t="n">
        <v>1.85</v>
      </c>
      <c r="H169" t="n">
        <v>41.36</v>
      </c>
      <c r="I169" t="n">
        <v>26.93</v>
      </c>
    </row>
    <row r="170">
      <c r="A170">
        <f>HYPERLINK("https://www.tradingview.com/chart/?symbol=NSE:IIFLCAPS","IIFLCAPS")</f>
        <v/>
      </c>
      <c r="B170" t="n">
        <v>337.15</v>
      </c>
      <c r="C170" t="n">
        <v>920471</v>
      </c>
      <c r="D170" t="n">
        <v>793023</v>
      </c>
      <c r="E170" t="n">
        <v>86.15000000000001</v>
      </c>
      <c r="F170" t="n">
        <v>393474.2068965517</v>
      </c>
      <c r="G170" t="n">
        <v>2.02</v>
      </c>
      <c r="H170" t="n">
        <v>31.03</v>
      </c>
      <c r="I170" t="n">
        <v>26.74</v>
      </c>
    </row>
    <row r="171">
      <c r="A171">
        <f>HYPERLINK("https://www.tradingview.com/chart/?symbol=NSE:SUDARSCHEM","SUDARSCHEM")</f>
        <v/>
      </c>
      <c r="B171" t="n">
        <v>1038.05</v>
      </c>
      <c r="C171" t="n">
        <v>584126</v>
      </c>
      <c r="D171" t="n">
        <v>256707</v>
      </c>
      <c r="E171" t="n">
        <v>43.95</v>
      </c>
      <c r="F171" t="n">
        <v>111007.7931034483</v>
      </c>
      <c r="G171" t="n">
        <v>2.31</v>
      </c>
      <c r="H171" t="n">
        <v>60.64</v>
      </c>
      <c r="I171" t="n">
        <v>26.65</v>
      </c>
    </row>
    <row r="172">
      <c r="A172">
        <f>HYPERLINK("https://www.tradingview.com/chart/?symbol=NSE:JSL","JSL")</f>
        <v/>
      </c>
      <c r="B172" t="n">
        <v>703.35</v>
      </c>
      <c r="C172" t="n">
        <v>571627</v>
      </c>
      <c r="D172" t="n">
        <v>362481</v>
      </c>
      <c r="E172" t="n">
        <v>63.41</v>
      </c>
      <c r="F172" t="n">
        <v>359141.2068965517</v>
      </c>
      <c r="G172" t="n">
        <v>1.01</v>
      </c>
      <c r="H172" t="n">
        <v>40.21</v>
      </c>
      <c r="I172" t="n">
        <v>25.5</v>
      </c>
    </row>
    <row r="173">
      <c r="A173">
        <f>HYPERLINK("https://www.tradingview.com/chart/?symbol=NSE:AJANTPHARM","AJANTPHARM")</f>
        <v/>
      </c>
      <c r="B173" t="n">
        <v>3421.4</v>
      </c>
      <c r="C173" t="n">
        <v>137282</v>
      </c>
      <c r="D173" t="n">
        <v>73553</v>
      </c>
      <c r="E173" t="n">
        <v>53.58</v>
      </c>
      <c r="F173" t="n">
        <v>62723.20689655172</v>
      </c>
      <c r="G173" t="n">
        <v>1.17</v>
      </c>
      <c r="H173" t="n">
        <v>46.97</v>
      </c>
      <c r="I173" t="n">
        <v>25.17</v>
      </c>
    </row>
    <row r="174">
      <c r="A174">
        <f>HYPERLINK("https://www.tradingview.com/chart/?symbol=NSE:EIDPARRY","EIDPARRY")</f>
        <v/>
      </c>
      <c r="B174" t="n">
        <v>784.7</v>
      </c>
      <c r="C174" t="n">
        <v>701311</v>
      </c>
      <c r="D174" t="n">
        <v>320341</v>
      </c>
      <c r="E174" t="n">
        <v>45.68</v>
      </c>
      <c r="F174" t="n">
        <v>246544.5862068966</v>
      </c>
      <c r="G174" t="n">
        <v>1.3</v>
      </c>
      <c r="H174" t="n">
        <v>55.03</v>
      </c>
      <c r="I174" t="n">
        <v>25.14</v>
      </c>
    </row>
    <row r="175">
      <c r="A175">
        <f>HYPERLINK("https://www.tradingview.com/chart/?symbol=NSE:NORTHARC","NORTHARC")</f>
        <v/>
      </c>
      <c r="B175" t="n">
        <v>324.95</v>
      </c>
      <c r="C175" t="n">
        <v>1671776</v>
      </c>
      <c r="D175" t="n">
        <v>770427</v>
      </c>
      <c r="E175" t="n">
        <v>46.08</v>
      </c>
      <c r="F175" t="n">
        <v>346334.2068965517</v>
      </c>
      <c r="G175" t="n">
        <v>2.22</v>
      </c>
      <c r="H175" t="n">
        <v>54.32</v>
      </c>
      <c r="I175" t="n">
        <v>25.04</v>
      </c>
    </row>
    <row r="176">
      <c r="A176">
        <f>HYPERLINK("https://www.tradingview.com/chart/?symbol=NSE:EIEL","EIEL")</f>
        <v/>
      </c>
      <c r="B176" t="n">
        <v>235.89</v>
      </c>
      <c r="C176" t="n">
        <v>2318472</v>
      </c>
      <c r="D176" t="n">
        <v>1058861</v>
      </c>
      <c r="E176" t="n">
        <v>45.67</v>
      </c>
      <c r="F176" t="n">
        <v>878857.1034482758</v>
      </c>
      <c r="G176" t="n">
        <v>1.2</v>
      </c>
      <c r="H176" t="n">
        <v>54.69</v>
      </c>
      <c r="I176" t="n">
        <v>24.98</v>
      </c>
    </row>
    <row r="177">
      <c r="A177">
        <f>HYPERLINK("https://www.tradingview.com/chart/?symbol=NSE:RKFORGE","RKFORGE")</f>
        <v/>
      </c>
      <c r="B177" t="n">
        <v>565.5</v>
      </c>
      <c r="C177" t="n">
        <v>604904</v>
      </c>
      <c r="D177" t="n">
        <v>441629</v>
      </c>
      <c r="E177" t="n">
        <v>73.01000000000001</v>
      </c>
      <c r="F177" t="n">
        <v>188095.3103448276</v>
      </c>
      <c r="G177" t="n">
        <v>2.35</v>
      </c>
      <c r="H177" t="n">
        <v>34.21</v>
      </c>
      <c r="I177" t="n">
        <v>24.97</v>
      </c>
    </row>
    <row r="178">
      <c r="A178">
        <f>HYPERLINK("https://www.tradingview.com/chart/?symbol=NSE:PCBL","PCBL")</f>
        <v/>
      </c>
      <c r="B178" t="n">
        <v>323.55</v>
      </c>
      <c r="C178" t="n">
        <v>2374702</v>
      </c>
      <c r="D178" t="n">
        <v>760083</v>
      </c>
      <c r="E178" t="n">
        <v>32.01</v>
      </c>
      <c r="F178" t="n">
        <v>447567.6896551724</v>
      </c>
      <c r="G178" t="n">
        <v>1.7</v>
      </c>
      <c r="H178" t="n">
        <v>76.83</v>
      </c>
      <c r="I178" t="n">
        <v>24.59</v>
      </c>
    </row>
    <row r="179">
      <c r="A179">
        <f>HYPERLINK("https://www.tradingview.com/chart/?symbol=NSE:IRCTC","IRCTC")</f>
        <v/>
      </c>
      <c r="B179" t="n">
        <v>502.05</v>
      </c>
      <c r="C179" t="n">
        <v>843555</v>
      </c>
      <c r="D179" t="n">
        <v>486728</v>
      </c>
      <c r="E179" t="n">
        <v>57.7</v>
      </c>
      <c r="F179" t="n">
        <v>430507.4137931034</v>
      </c>
      <c r="G179" t="n">
        <v>1.13</v>
      </c>
      <c r="H179" t="n">
        <v>42.35</v>
      </c>
      <c r="I179" t="n">
        <v>24.44</v>
      </c>
    </row>
    <row r="180">
      <c r="A180">
        <f>HYPERLINK("https://www.tradingview.com/chart/?symbol=NSE:WELSPUNLIV","WELSPUNLIV")</f>
        <v/>
      </c>
      <c r="B180" t="n">
        <v>174.14</v>
      </c>
      <c r="C180" t="n">
        <v>4165421</v>
      </c>
      <c r="D180" t="n">
        <v>1397661</v>
      </c>
      <c r="E180" t="n">
        <v>33.55</v>
      </c>
      <c r="F180" t="n">
        <v>1128774.586206896</v>
      </c>
      <c r="G180" t="n">
        <v>1.24</v>
      </c>
      <c r="H180" t="n">
        <v>72.54000000000001</v>
      </c>
      <c r="I180" t="n">
        <v>24.34</v>
      </c>
    </row>
    <row r="181">
      <c r="A181">
        <f>HYPERLINK("https://www.tradingview.com/chart/?symbol=NSE:ECLERX","ECLERX")</f>
        <v/>
      </c>
      <c r="B181" t="n">
        <v>1662.9</v>
      </c>
      <c r="C181" t="n">
        <v>309915</v>
      </c>
      <c r="D181" t="n">
        <v>144879</v>
      </c>
      <c r="E181" t="n">
        <v>46.75</v>
      </c>
      <c r="F181" t="n">
        <v>129883.9310344828</v>
      </c>
      <c r="G181" t="n">
        <v>1.12</v>
      </c>
      <c r="H181" t="n">
        <v>51.54</v>
      </c>
      <c r="I181" t="n">
        <v>24.09</v>
      </c>
    </row>
    <row r="182">
      <c r="A182">
        <f>HYPERLINK("https://www.tradingview.com/chart/?symbol=NSE:GRAPHITE","GRAPHITE")</f>
        <v/>
      </c>
      <c r="B182" t="n">
        <v>626.5</v>
      </c>
      <c r="C182" t="n">
        <v>1157541</v>
      </c>
      <c r="D182" t="n">
        <v>383991</v>
      </c>
      <c r="E182" t="n">
        <v>33.17</v>
      </c>
      <c r="F182" t="n">
        <v>292457.6206896552</v>
      </c>
      <c r="G182" t="n">
        <v>1.31</v>
      </c>
      <c r="H182" t="n">
        <v>72.52</v>
      </c>
      <c r="I182" t="n">
        <v>24.06</v>
      </c>
    </row>
    <row r="183">
      <c r="A183">
        <f>HYPERLINK("https://www.tradingview.com/chart/?symbol=NSE:HESTERBIO","HESTERBIO")</f>
        <v/>
      </c>
      <c r="B183" t="n">
        <v>2545</v>
      </c>
      <c r="C183" t="n">
        <v>482367</v>
      </c>
      <c r="D183" t="n">
        <v>94184</v>
      </c>
      <c r="E183" t="n">
        <v>19.53</v>
      </c>
      <c r="F183" t="n">
        <v>3822.724137931034</v>
      </c>
      <c r="G183" t="n">
        <v>24.64</v>
      </c>
      <c r="H183" t="n">
        <v>122.76</v>
      </c>
      <c r="I183" t="n">
        <v>23.97</v>
      </c>
    </row>
    <row r="184">
      <c r="A184">
        <f>HYPERLINK("https://www.tradingview.com/chart/?symbol=NSE:PARADEEP","PARADEEP")</f>
        <v/>
      </c>
      <c r="B184" t="n">
        <v>143.38</v>
      </c>
      <c r="C184" t="n">
        <v>3633910</v>
      </c>
      <c r="D184" t="n">
        <v>1649949</v>
      </c>
      <c r="E184" t="n">
        <v>45.4</v>
      </c>
      <c r="F184" t="n">
        <v>1645305.379310345</v>
      </c>
      <c r="G184" t="n">
        <v>1</v>
      </c>
      <c r="H184" t="n">
        <v>52.1</v>
      </c>
      <c r="I184" t="n">
        <v>23.66</v>
      </c>
    </row>
    <row r="185">
      <c r="A185">
        <f>HYPERLINK("https://www.tradingview.com/chart/?symbol=NSE:IFBIND","IFBIND")</f>
        <v/>
      </c>
      <c r="B185" t="n">
        <v>1423.4</v>
      </c>
      <c r="C185" t="n">
        <v>517239</v>
      </c>
      <c r="D185" t="n">
        <v>162628</v>
      </c>
      <c r="E185" t="n">
        <v>31.44</v>
      </c>
      <c r="F185" t="n">
        <v>43596.68965517241</v>
      </c>
      <c r="G185" t="n">
        <v>3.73</v>
      </c>
      <c r="H185" t="n">
        <v>73.62</v>
      </c>
      <c r="I185" t="n">
        <v>23.15</v>
      </c>
    </row>
    <row r="186">
      <c r="A186">
        <f>HYPERLINK("https://www.tradingview.com/chart/?symbol=NSE:PURVA","PURVA")</f>
        <v/>
      </c>
      <c r="B186" t="n">
        <v>248.4</v>
      </c>
      <c r="C186" t="n">
        <v>13995860</v>
      </c>
      <c r="D186" t="n">
        <v>922640</v>
      </c>
      <c r="E186" t="n">
        <v>6.59</v>
      </c>
      <c r="F186" t="n">
        <v>59250.41379310345</v>
      </c>
      <c r="G186" t="n">
        <v>15.57</v>
      </c>
      <c r="H186" t="n">
        <v>347.66</v>
      </c>
      <c r="I186" t="n">
        <v>22.92</v>
      </c>
    </row>
    <row r="187">
      <c r="A187">
        <f>HYPERLINK("https://www.tradingview.com/chart/?symbol=NSE:AVL","AVL")</f>
        <v/>
      </c>
      <c r="B187" t="n">
        <v>636</v>
      </c>
      <c r="C187" t="n">
        <v>399287</v>
      </c>
      <c r="D187" t="n">
        <v>348745</v>
      </c>
      <c r="E187" t="n">
        <v>87.34</v>
      </c>
      <c r="F187" t="n">
        <v>184581.6206896552</v>
      </c>
      <c r="G187" t="n">
        <v>1.89</v>
      </c>
      <c r="H187" t="n">
        <v>25.39</v>
      </c>
      <c r="I187" t="n">
        <v>22.18</v>
      </c>
    </row>
    <row r="188">
      <c r="A188">
        <f>HYPERLINK("https://www.tradingview.com/chart/?symbol=NSE:MUTHOOTMF","MUTHOOTMF")</f>
        <v/>
      </c>
      <c r="B188" t="n">
        <v>246.31</v>
      </c>
      <c r="C188" t="n">
        <v>4269106</v>
      </c>
      <c r="D188" t="n">
        <v>900028</v>
      </c>
      <c r="E188" t="n">
        <v>21.08</v>
      </c>
      <c r="F188" t="n">
        <v>233914.3103448276</v>
      </c>
      <c r="G188" t="n">
        <v>3.85</v>
      </c>
      <c r="H188" t="n">
        <v>105.15</v>
      </c>
      <c r="I188" t="n">
        <v>22.17</v>
      </c>
    </row>
    <row r="189">
      <c r="A189">
        <f>HYPERLINK("https://www.tradingview.com/chart/?symbol=NSE:EPACKPEB","EPACKPEB")</f>
        <v/>
      </c>
      <c r="B189" t="n">
        <v>278.32</v>
      </c>
      <c r="C189" t="n">
        <v>1772186</v>
      </c>
      <c r="D189" t="n">
        <v>796004</v>
      </c>
      <c r="E189" t="n">
        <v>44.92</v>
      </c>
      <c r="F189" t="n">
        <v>512255.7931034483</v>
      </c>
      <c r="G189" t="n">
        <v>1.55</v>
      </c>
      <c r="H189" t="n">
        <v>49.32</v>
      </c>
      <c r="I189" t="n">
        <v>22.15</v>
      </c>
    </row>
    <row r="190">
      <c r="A190">
        <f>HYPERLINK("https://www.tradingview.com/chart/?symbol=NSE:FRACTAL","FRACTAL")</f>
        <v/>
      </c>
      <c r="B190" t="n">
        <v>854</v>
      </c>
      <c r="C190" t="n">
        <v>493480</v>
      </c>
      <c r="D190" t="n">
        <v>258462</v>
      </c>
      <c r="E190" t="n">
        <v>52.38</v>
      </c>
      <c r="F190" t="n">
        <v>204182.5172413793</v>
      </c>
      <c r="G190" t="n">
        <v>1.27</v>
      </c>
      <c r="H190" t="n">
        <v>42.14</v>
      </c>
      <c r="I190" t="n">
        <v>22.07</v>
      </c>
    </row>
    <row r="191">
      <c r="A191">
        <f>HYPERLINK("https://www.tradingview.com/chart/?symbol=NSE:GOLDIAM","GOLDIAM")</f>
        <v/>
      </c>
      <c r="B191" t="n">
        <v>374.55</v>
      </c>
      <c r="C191" t="n">
        <v>3231438</v>
      </c>
      <c r="D191" t="n">
        <v>582028</v>
      </c>
      <c r="E191" t="n">
        <v>18.01</v>
      </c>
      <c r="F191" t="n">
        <v>439832.1724137931</v>
      </c>
      <c r="G191" t="n">
        <v>1.32</v>
      </c>
      <c r="H191" t="n">
        <v>121.03</v>
      </c>
      <c r="I191" t="n">
        <v>21.8</v>
      </c>
    </row>
    <row r="192">
      <c r="A192">
        <f>HYPERLINK("https://www.tradingview.com/chart/?symbol=NSE:INDIANHUME","INDIANHUME")</f>
        <v/>
      </c>
      <c r="B192" t="n">
        <v>411.55</v>
      </c>
      <c r="C192" t="n">
        <v>4001020</v>
      </c>
      <c r="D192" t="n">
        <v>526001</v>
      </c>
      <c r="E192" t="n">
        <v>13.15</v>
      </c>
      <c r="F192" t="n">
        <v>60025.1724137931</v>
      </c>
      <c r="G192" t="n">
        <v>8.76</v>
      </c>
      <c r="H192" t="n">
        <v>164.66</v>
      </c>
      <c r="I192" t="n">
        <v>21.65</v>
      </c>
    </row>
    <row r="193">
      <c r="A193">
        <f>HYPERLINK("https://www.tradingview.com/chart/?symbol=NSE:PICCADIL","PICCADIL")</f>
        <v/>
      </c>
      <c r="B193" t="n">
        <v>718.9</v>
      </c>
      <c r="C193" t="n">
        <v>820585</v>
      </c>
      <c r="D193" t="n">
        <v>297428</v>
      </c>
      <c r="E193" t="n">
        <v>36.25</v>
      </c>
      <c r="F193" t="n">
        <v>89966.44827586207</v>
      </c>
      <c r="G193" t="n">
        <v>3.31</v>
      </c>
      <c r="H193" t="n">
        <v>58.99</v>
      </c>
      <c r="I193" t="n">
        <v>21.38</v>
      </c>
    </row>
    <row r="194">
      <c r="A194">
        <f>HYPERLINK("https://www.tradingview.com/chart/?symbol=NSE:CESC","CESC")</f>
        <v/>
      </c>
      <c r="B194" t="n">
        <v>161.92</v>
      </c>
      <c r="C194" t="n">
        <v>2049903</v>
      </c>
      <c r="D194" t="n">
        <v>1318202</v>
      </c>
      <c r="E194" t="n">
        <v>64.31</v>
      </c>
      <c r="F194" t="n">
        <v>726915.551724138</v>
      </c>
      <c r="G194" t="n">
        <v>1.81</v>
      </c>
      <c r="H194" t="n">
        <v>33.19</v>
      </c>
      <c r="I194" t="n">
        <v>21.34</v>
      </c>
    </row>
    <row r="195">
      <c r="A195">
        <f>HYPERLINK("https://www.tradingview.com/chart/?symbol=NSE:SGFIN","SGFIN")</f>
        <v/>
      </c>
      <c r="B195" t="n">
        <v>617.05</v>
      </c>
      <c r="C195" t="n">
        <v>631147</v>
      </c>
      <c r="D195" t="n">
        <v>345502</v>
      </c>
      <c r="E195" t="n">
        <v>54.74</v>
      </c>
      <c r="F195" t="n">
        <v>119898.7931034483</v>
      </c>
      <c r="G195" t="n">
        <v>2.88</v>
      </c>
      <c r="H195" t="n">
        <v>38.94</v>
      </c>
      <c r="I195" t="n">
        <v>21.32</v>
      </c>
    </row>
    <row r="196">
      <c r="A196">
        <f>HYPERLINK("https://www.tradingview.com/chart/?symbol=NSE:SMLMAH","SMLMAH")</f>
        <v/>
      </c>
      <c r="B196" t="n">
        <v>4200.7</v>
      </c>
      <c r="C196" t="n">
        <v>102933</v>
      </c>
      <c r="D196" t="n">
        <v>49954</v>
      </c>
      <c r="E196" t="n">
        <v>48.53</v>
      </c>
      <c r="F196" t="n">
        <v>33747.86206896551</v>
      </c>
      <c r="G196" t="n">
        <v>1.48</v>
      </c>
      <c r="H196" t="n">
        <v>43.24</v>
      </c>
      <c r="I196" t="n">
        <v>20.98</v>
      </c>
    </row>
    <row r="197">
      <c r="A197">
        <f>HYPERLINK("https://www.tradingview.com/chart/?symbol=NSE:ZAGGLE","ZAGGLE")</f>
        <v/>
      </c>
      <c r="B197" t="n">
        <v>217.8</v>
      </c>
      <c r="C197" t="n">
        <v>2712123</v>
      </c>
      <c r="D197" t="n">
        <v>955952</v>
      </c>
      <c r="E197" t="n">
        <v>35.25</v>
      </c>
      <c r="F197" t="n">
        <v>338984.5517241379</v>
      </c>
      <c r="G197" t="n">
        <v>2.82</v>
      </c>
      <c r="H197" t="n">
        <v>59.07</v>
      </c>
      <c r="I197" t="n">
        <v>20.82</v>
      </c>
    </row>
    <row r="198">
      <c r="A198">
        <f>HYPERLINK("https://www.tradingview.com/chart/?symbol=NSE:EMSLIMITED","EMSLIMITED")</f>
        <v/>
      </c>
      <c r="B198" t="n">
        <v>441.15</v>
      </c>
      <c r="C198" t="n">
        <v>1460145</v>
      </c>
      <c r="D198" t="n">
        <v>470628</v>
      </c>
      <c r="E198" t="n">
        <v>32.23</v>
      </c>
      <c r="F198" t="n">
        <v>265855.1034482759</v>
      </c>
      <c r="G198" t="n">
        <v>1.77</v>
      </c>
      <c r="H198" t="n">
        <v>64.41</v>
      </c>
      <c r="I198" t="n">
        <v>20.76</v>
      </c>
    </row>
    <row r="199">
      <c r="A199">
        <f>HYPERLINK("https://www.tradingview.com/chart/?symbol=NSE:TIMKEN","TIMKEN")</f>
        <v/>
      </c>
      <c r="B199" t="n">
        <v>3175.4</v>
      </c>
      <c r="C199" t="n">
        <v>85402</v>
      </c>
      <c r="D199" t="n">
        <v>65154</v>
      </c>
      <c r="E199" t="n">
        <v>76.29000000000001</v>
      </c>
      <c r="F199" t="n">
        <v>38336.65517241379</v>
      </c>
      <c r="G199" t="n">
        <v>1.7</v>
      </c>
      <c r="H199" t="n">
        <v>27.12</v>
      </c>
      <c r="I199" t="n">
        <v>20.69</v>
      </c>
    </row>
    <row r="200">
      <c r="A200">
        <f>HYPERLINK("https://www.tradingview.com/chart/?symbol=NSE:APTUS","APTUS")</f>
        <v/>
      </c>
      <c r="B200" t="n">
        <v>289.5</v>
      </c>
      <c r="C200" t="n">
        <v>1827306</v>
      </c>
      <c r="D200" t="n">
        <v>712218</v>
      </c>
      <c r="E200" t="n">
        <v>38.98</v>
      </c>
      <c r="F200" t="n">
        <v>580061.6551724138</v>
      </c>
      <c r="G200" t="n">
        <v>1.23</v>
      </c>
      <c r="H200" t="n">
        <v>52.9</v>
      </c>
      <c r="I200" t="n">
        <v>20.62</v>
      </c>
    </row>
    <row r="201">
      <c r="A201">
        <f>HYPERLINK("https://www.tradingview.com/chart/?symbol=NSE:STALLION","STALLION")</f>
        <v/>
      </c>
      <c r="B201" t="n">
        <v>209.88</v>
      </c>
      <c r="C201" t="n">
        <v>4422397</v>
      </c>
      <c r="D201" t="n">
        <v>979659</v>
      </c>
      <c r="E201" t="n">
        <v>22.15</v>
      </c>
      <c r="F201" t="n">
        <v>696059</v>
      </c>
      <c r="G201" t="n">
        <v>1.41</v>
      </c>
      <c r="H201" t="n">
        <v>92.81999999999999</v>
      </c>
      <c r="I201" t="n">
        <v>20.56</v>
      </c>
    </row>
    <row r="202">
      <c r="A202">
        <f>HYPERLINK("https://www.tradingview.com/chart/?symbol=NSE:SATIN","SATIN")</f>
        <v/>
      </c>
      <c r="B202" t="n">
        <v>267.19</v>
      </c>
      <c r="C202" t="n">
        <v>1487037</v>
      </c>
      <c r="D202" t="n">
        <v>764154</v>
      </c>
      <c r="E202" t="n">
        <v>51.39</v>
      </c>
      <c r="F202" t="n">
        <v>296392.3448275862</v>
      </c>
      <c r="G202" t="n">
        <v>2.58</v>
      </c>
      <c r="H202" t="n">
        <v>39.73</v>
      </c>
      <c r="I202" t="n">
        <v>20.42</v>
      </c>
    </row>
    <row r="203">
      <c r="A203">
        <f>HYPERLINK("https://www.tradingview.com/chart/?symbol=NSE:HDFCNIFBAN","HDFCNIFBAN")</f>
        <v/>
      </c>
      <c r="B203" t="n">
        <v>59.72</v>
      </c>
      <c r="C203" t="n">
        <v>3467401</v>
      </c>
      <c r="D203" t="n">
        <v>3411810</v>
      </c>
      <c r="E203" t="n">
        <v>98.40000000000001</v>
      </c>
      <c r="F203" t="n">
        <v>541510.4137931034</v>
      </c>
      <c r="G203" t="n">
        <v>6.3</v>
      </c>
      <c r="H203" t="n">
        <v>20.71</v>
      </c>
      <c r="I203" t="n">
        <v>20.38</v>
      </c>
    </row>
    <row r="204">
      <c r="A204">
        <f>HYPERLINK("https://www.tradingview.com/chart/?symbol=NSE:FEDFINA","FEDFINA")</f>
        <v/>
      </c>
      <c r="B204" t="n">
        <v>157.25</v>
      </c>
      <c r="C204" t="n">
        <v>2795517</v>
      </c>
      <c r="D204" t="n">
        <v>1293910</v>
      </c>
      <c r="E204" t="n">
        <v>46.29</v>
      </c>
      <c r="F204" t="n">
        <v>841851.6206896552</v>
      </c>
      <c r="G204" t="n">
        <v>1.54</v>
      </c>
      <c r="H204" t="n">
        <v>43.96</v>
      </c>
      <c r="I204" t="n">
        <v>20.35</v>
      </c>
    </row>
    <row r="205">
      <c r="A205">
        <f>HYPERLINK("https://www.tradingview.com/chart/?symbol=NSE:SKMEGGPROD","SKMEGGPROD")</f>
        <v/>
      </c>
      <c r="B205" t="n">
        <v>360.9</v>
      </c>
      <c r="C205" t="n">
        <v>5940256</v>
      </c>
      <c r="D205" t="n">
        <v>562162</v>
      </c>
      <c r="E205" t="n">
        <v>9.460000000000001</v>
      </c>
      <c r="F205" t="n">
        <v>317997.4482758621</v>
      </c>
      <c r="G205" t="n">
        <v>1.77</v>
      </c>
      <c r="H205" t="n">
        <v>214.38</v>
      </c>
      <c r="I205" t="n">
        <v>20.29</v>
      </c>
    </row>
    <row r="206">
      <c r="A206">
        <f>HYPERLINK("https://www.tradingview.com/chart/?symbol=NSE:NIFTYIETF","NIFTYIETF")</f>
        <v/>
      </c>
      <c r="B206" t="n">
        <v>274.07</v>
      </c>
      <c r="C206" t="n">
        <v>1173606</v>
      </c>
      <c r="D206" t="n">
        <v>740378</v>
      </c>
      <c r="E206" t="n">
        <v>63.09</v>
      </c>
      <c r="F206" t="n">
        <v>461982.3448275862</v>
      </c>
      <c r="G206" t="n">
        <v>1.6</v>
      </c>
      <c r="H206" t="n">
        <v>32.17</v>
      </c>
      <c r="I206" t="n">
        <v>20.29</v>
      </c>
    </row>
    <row r="207">
      <c r="A207">
        <f>HYPERLINK("https://www.tradingview.com/chart/?symbol=NSE:SOBHA","SOBHA")</f>
        <v/>
      </c>
      <c r="B207" t="n">
        <v>1517.6</v>
      </c>
      <c r="C207" t="n">
        <v>335244</v>
      </c>
      <c r="D207" t="n">
        <v>133186</v>
      </c>
      <c r="E207" t="n">
        <v>39.73</v>
      </c>
      <c r="F207" t="n">
        <v>60354.06896551724</v>
      </c>
      <c r="G207" t="n">
        <v>2.21</v>
      </c>
      <c r="H207" t="n">
        <v>50.88</v>
      </c>
      <c r="I207" t="n">
        <v>20.21</v>
      </c>
    </row>
    <row r="208">
      <c r="A208">
        <f>HYPERLINK("https://www.tradingview.com/chart/?symbol=NSE:VOLTAMP","VOLTAMP")</f>
        <v/>
      </c>
      <c r="B208" t="n">
        <v>9471</v>
      </c>
      <c r="C208" t="n">
        <v>37646</v>
      </c>
      <c r="D208" t="n">
        <v>21162</v>
      </c>
      <c r="E208" t="n">
        <v>56.21</v>
      </c>
      <c r="F208" t="n">
        <v>17717.51724137931</v>
      </c>
      <c r="G208" t="n">
        <v>1.19</v>
      </c>
      <c r="H208" t="n">
        <v>35.65</v>
      </c>
      <c r="I208" t="n">
        <v>20.04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2026-07-14T09:14:00Z</dcterms:created>
  <dcterms:modified xsi:type="dcterms:W3CDTF">2026-07-14T09:14:00Z</dcterms:modified>
</cp:coreProperties>
</file>