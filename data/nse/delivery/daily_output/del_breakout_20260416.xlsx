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HYPERLINK("https://www.tradingview.com/chart/?symbol=NSE:GALLANTT", "GALLANTT")</f>
        <v/>
      </c>
      <c r="B2" t="n">
        <v>2350450</v>
      </c>
      <c r="C2" t="n">
        <v>288289.6666666667</v>
      </c>
      <c r="D2" t="n">
        <v>8.15</v>
      </c>
    </row>
    <row r="3">
      <c r="A3">
        <f>HYPERLINK("https://www.tradingview.com/chart/?symbol=NSE:GMDCLTD", "GMDCLTD")</f>
        <v/>
      </c>
      <c r="B3" t="n">
        <v>7803942</v>
      </c>
      <c r="C3" t="n">
        <v>1118953.333333333</v>
      </c>
      <c r="D3" t="n">
        <v>6.97</v>
      </c>
    </row>
    <row r="4">
      <c r="A4">
        <f>HYPERLINK("https://www.tradingview.com/chart/?symbol=NSE:FSL", "FSL")</f>
        <v/>
      </c>
      <c r="B4" t="n">
        <v>4241239</v>
      </c>
      <c r="C4" t="n">
        <v>618413.8</v>
      </c>
      <c r="D4" t="n">
        <v>6.86</v>
      </c>
    </row>
    <row r="5">
      <c r="A5">
        <f>HYPERLINK("https://www.tradingview.com/chart/?symbol=NSE:NLCINDIA", "NLCINDIA")</f>
        <v/>
      </c>
      <c r="B5" t="n">
        <v>7389075</v>
      </c>
      <c r="C5" t="n">
        <v>1215078</v>
      </c>
      <c r="D5" t="n">
        <v>6.08</v>
      </c>
    </row>
    <row r="6">
      <c r="A6">
        <f>HYPERLINK("https://www.tradingview.com/chart/?symbol=NSE:SCI", "SCI")</f>
        <v/>
      </c>
      <c r="B6" t="n">
        <v>7270870</v>
      </c>
      <c r="C6" t="n">
        <v>1278248.833333333</v>
      </c>
      <c r="D6" t="n">
        <v>5.69</v>
      </c>
    </row>
    <row r="7">
      <c r="A7">
        <f>HYPERLINK("https://www.tradingview.com/chart/?symbol=NSE:ERIS", "ERIS")</f>
        <v/>
      </c>
      <c r="B7" t="n">
        <v>283138</v>
      </c>
      <c r="C7" t="n">
        <v>51606.9</v>
      </c>
      <c r="D7" t="n">
        <v>5.49</v>
      </c>
    </row>
    <row r="8">
      <c r="A8">
        <f>HYPERLINK("https://www.tradingview.com/chart/?symbol=NSE:GLAND", "GLAND")</f>
        <v/>
      </c>
      <c r="B8" t="n">
        <v>237500</v>
      </c>
      <c r="C8" t="n">
        <v>48259.13333333333</v>
      </c>
      <c r="D8" t="n">
        <v>4.92</v>
      </c>
    </row>
    <row r="9">
      <c r="A9">
        <f>HYPERLINK("https://www.tradingview.com/chart/?symbol=NSE:RAILTEL", "RAILTEL")</f>
        <v/>
      </c>
      <c r="B9" t="n">
        <v>2708444</v>
      </c>
      <c r="C9" t="n">
        <v>584808.7333333333</v>
      </c>
      <c r="D9" t="n">
        <v>4.63</v>
      </c>
    </row>
    <row r="10">
      <c r="A10">
        <f>HYPERLINK("https://www.tradingview.com/chart/?symbol=NSE:POONAWALLA", "POONAWALLA")</f>
        <v/>
      </c>
      <c r="B10" t="n">
        <v>3402513</v>
      </c>
      <c r="C10" t="n">
        <v>889596.4666666667</v>
      </c>
      <c r="D10" t="n">
        <v>3.82</v>
      </c>
    </row>
    <row r="11">
      <c r="A11">
        <f>HYPERLINK("https://www.tradingview.com/chart/?symbol=NSE:SYRMA", "SYRMA")</f>
        <v/>
      </c>
      <c r="B11" t="n">
        <v>1523434</v>
      </c>
      <c r="C11" t="n">
        <v>412946.0333333333</v>
      </c>
      <c r="D11" t="n">
        <v>3.69</v>
      </c>
    </row>
    <row r="12">
      <c r="A12">
        <f>HYPERLINK("https://www.tradingview.com/chart/?symbol=NSE:HDBFS", "HDBFS")</f>
        <v/>
      </c>
      <c r="B12" t="n">
        <v>2802299</v>
      </c>
      <c r="C12" t="n">
        <v>763407.5</v>
      </c>
      <c r="D12" t="n">
        <v>3.67</v>
      </c>
    </row>
    <row r="13">
      <c r="A13">
        <f>HYPERLINK("https://www.tradingview.com/chart/?symbol=NSE:GICRE", "GICRE")</f>
        <v/>
      </c>
      <c r="B13" t="n">
        <v>928428</v>
      </c>
      <c r="C13" t="n">
        <v>257191.6333333333</v>
      </c>
      <c r="D13" t="n">
        <v>3.61</v>
      </c>
    </row>
    <row r="14">
      <c r="A14">
        <f>HYPERLINK("https://www.tradingview.com/chart/?symbol=NSE:SWANCORP", "SWANCORP")</f>
        <v/>
      </c>
      <c r="B14" t="n">
        <v>1892293</v>
      </c>
      <c r="C14" t="n">
        <v>533227.1</v>
      </c>
      <c r="D14" t="n">
        <v>3.55</v>
      </c>
    </row>
    <row r="15">
      <c r="A15">
        <f>HYPERLINK("https://www.tradingview.com/chart/?symbol=NSE:SONATSOFTW", "SONATSOFTW")</f>
        <v/>
      </c>
      <c r="B15" t="n">
        <v>1235172</v>
      </c>
      <c r="C15" t="n">
        <v>361949.9</v>
      </c>
      <c r="D15" t="n">
        <v>3.41</v>
      </c>
    </row>
    <row r="16">
      <c r="A16">
        <f>HYPERLINK("https://www.tradingview.com/chart/?symbol=NSE:HEG", "HEG")</f>
        <v/>
      </c>
      <c r="B16" t="n">
        <v>2016074</v>
      </c>
      <c r="C16" t="n">
        <v>594411.8666666667</v>
      </c>
      <c r="D16" t="n">
        <v>3.39</v>
      </c>
    </row>
    <row r="17">
      <c r="A17">
        <f>HYPERLINK("https://www.tradingview.com/chart/?symbol=NSE:MINDACORP", "MINDACORP")</f>
        <v/>
      </c>
      <c r="B17" t="n">
        <v>613420</v>
      </c>
      <c r="C17" t="n">
        <v>188448</v>
      </c>
      <c r="D17" t="n">
        <v>3.26</v>
      </c>
    </row>
    <row r="18">
      <c r="A18">
        <f>HYPERLINK("https://www.tradingview.com/chart/?symbol=NSE:ECLERX", "ECLERX")</f>
        <v/>
      </c>
      <c r="B18" t="n">
        <v>339856</v>
      </c>
      <c r="C18" t="n">
        <v>108722.0666666667</v>
      </c>
      <c r="D18" t="n">
        <v>3.13</v>
      </c>
    </row>
    <row r="19">
      <c r="A19">
        <f>HYPERLINK("https://www.tradingview.com/chart/?symbol=NSE:CROMPTON", "CROMPTON")</f>
        <v/>
      </c>
      <c r="B19" t="n">
        <v>3447275</v>
      </c>
      <c r="C19" t="n">
        <v>1133195.133333333</v>
      </c>
      <c r="D19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2026-04-17T19:42:37Z</dcterms:created>
  <dcterms:modified xsi:type="dcterms:W3CDTF">2026-04-17T19:42:37Z</dcterms:modified>
</cp:coreProperties>
</file>