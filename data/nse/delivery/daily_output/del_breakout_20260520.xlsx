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HYPERLINK("https://www.tradingview.com/chart/?symbol=NSE:TIMKEN", "TIMKEN")</f>
        <v/>
      </c>
      <c r="B2" t="n">
        <v>430645</v>
      </c>
      <c r="C2" t="n">
        <v>50540.96666666667</v>
      </c>
      <c r="D2" t="n">
        <v>8.52</v>
      </c>
    </row>
    <row r="3">
      <c r="A3">
        <f>HYPERLINK("https://www.tradingview.com/chart/?symbol=NSE:GPIL", "GPIL")</f>
        <v/>
      </c>
      <c r="B3" t="n">
        <v>8683243</v>
      </c>
      <c r="C3" t="n">
        <v>1462168.2</v>
      </c>
      <c r="D3" t="n">
        <v>5.94</v>
      </c>
    </row>
    <row r="4">
      <c r="A4">
        <f>HYPERLINK("https://www.tradingview.com/chart/?symbol=NSE:ENRIN", "ENRIN")</f>
        <v/>
      </c>
      <c r="B4" t="n">
        <v>1467156</v>
      </c>
      <c r="C4" t="n">
        <v>269502.4</v>
      </c>
      <c r="D4" t="n">
        <v>5.44</v>
      </c>
    </row>
    <row r="5">
      <c r="A5">
        <f>HYPERLINK("https://www.tradingview.com/chart/?symbol=NSE:ZYDUSLIFE", "ZYDUSLIFE")</f>
        <v/>
      </c>
      <c r="B5" t="n">
        <v>2612328</v>
      </c>
      <c r="C5" t="n">
        <v>503150.8</v>
      </c>
      <c r="D5" t="n">
        <v>5.19</v>
      </c>
    </row>
    <row r="6">
      <c r="A6">
        <f>HYPERLINK("https://www.tradingview.com/chart/?symbol=NSE:ANTHEM", "ANTHEM")</f>
        <v/>
      </c>
      <c r="B6" t="n">
        <v>1008949</v>
      </c>
      <c r="C6" t="n">
        <v>196345.7666666667</v>
      </c>
      <c r="D6" t="n">
        <v>5.14</v>
      </c>
    </row>
    <row r="7">
      <c r="A7">
        <f>HYPERLINK("https://www.tradingview.com/chart/?symbol=NSE:PIIND", "PIIND")</f>
        <v/>
      </c>
      <c r="B7" t="n">
        <v>730475</v>
      </c>
      <c r="C7" t="n">
        <v>147536.2333333333</v>
      </c>
      <c r="D7" t="n">
        <v>4.95</v>
      </c>
    </row>
    <row r="8">
      <c r="A8">
        <f>HYPERLINK("https://www.tradingview.com/chart/?symbol=NSE:BLS", "BLS")</f>
        <v/>
      </c>
      <c r="B8" t="n">
        <v>2329786</v>
      </c>
      <c r="C8" t="n">
        <v>510716.4</v>
      </c>
      <c r="D8" t="n">
        <v>4.56</v>
      </c>
    </row>
    <row r="9">
      <c r="A9">
        <f>HYPERLINK("https://www.tradingview.com/chart/?symbol=NSE:ERIS", "ERIS")</f>
        <v/>
      </c>
      <c r="B9" t="n">
        <v>357724</v>
      </c>
      <c r="C9" t="n">
        <v>78584.39999999999</v>
      </c>
      <c r="D9" t="n">
        <v>4.55</v>
      </c>
    </row>
    <row r="10">
      <c r="A10">
        <f>HYPERLINK("https://www.tradingview.com/chart/?symbol=NSE:AIIL", "AIIL")</f>
        <v/>
      </c>
      <c r="B10" t="n">
        <v>662179</v>
      </c>
      <c r="C10" t="n">
        <v>149193.8</v>
      </c>
      <c r="D10" t="n">
        <v>4.44</v>
      </c>
    </row>
    <row r="11">
      <c r="A11">
        <f>HYPERLINK("https://www.tradingview.com/chart/?symbol=NSE:CGCL", "CGCL")</f>
        <v/>
      </c>
      <c r="B11" t="n">
        <v>3999407</v>
      </c>
      <c r="C11" t="n">
        <v>1017754</v>
      </c>
      <c r="D11" t="n">
        <v>3.93</v>
      </c>
    </row>
    <row r="12">
      <c r="A12">
        <f>HYPERLINK("https://www.tradingview.com/chart/?symbol=NSE:MAPMYINDIA", "MAPMYINDIA")</f>
        <v/>
      </c>
      <c r="B12" t="n">
        <v>316691</v>
      </c>
      <c r="C12" t="n">
        <v>80672.23333333334</v>
      </c>
      <c r="D12" t="n">
        <v>3.93</v>
      </c>
    </row>
    <row r="13">
      <c r="A13">
        <f>HYPERLINK("https://www.tradingview.com/chart/?symbol=NSE:GMRAIRPORT", "GMRAIRPORT")</f>
        <v/>
      </c>
      <c r="B13" t="n">
        <v>28214134</v>
      </c>
      <c r="C13" t="n">
        <v>7714943.2</v>
      </c>
      <c r="D13" t="n">
        <v>3.66</v>
      </c>
    </row>
    <row r="14">
      <c r="A14">
        <f>HYPERLINK("https://www.tradingview.com/chart/?symbol=NSE:MANKIND", "MANKIND")</f>
        <v/>
      </c>
      <c r="B14" t="n">
        <v>1061305</v>
      </c>
      <c r="C14" t="n">
        <v>296133.1</v>
      </c>
      <c r="D14" t="n">
        <v>3.58</v>
      </c>
    </row>
    <row r="15">
      <c r="A15">
        <f>HYPERLINK("https://www.tradingview.com/chart/?symbol=NSE:DIVISLAB", "DIVISLAB")</f>
        <v/>
      </c>
      <c r="B15" t="n">
        <v>605095</v>
      </c>
      <c r="C15" t="n">
        <v>175899.8333333333</v>
      </c>
      <c r="D15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2026-05-21T04:08:45Z</dcterms:created>
  <dcterms:modified xsi:type="dcterms:W3CDTF">2026-05-21T04:08:45Z</dcterms:modified>
</cp:coreProperties>
</file>