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HYPERLINK("https://www.tradingview.com/chart/?symbol=NSE:EPL","EPL")</f>
        <v/>
      </c>
      <c r="B2" t="n">
        <v>240.35</v>
      </c>
      <c r="C2" t="n">
        <v>135432363</v>
      </c>
      <c r="D2" t="n">
        <v>88117293</v>
      </c>
      <c r="E2" t="n">
        <v>65.06</v>
      </c>
      <c r="F2" t="n">
        <v>873859.4333333333</v>
      </c>
      <c r="G2" t="n">
        <v>100.84</v>
      </c>
      <c r="H2" t="n">
        <v>3255.12</v>
      </c>
      <c r="I2" t="n">
        <v>2117.9</v>
      </c>
    </row>
    <row r="3">
      <c r="A3">
        <f>HYPERLINK("https://www.tradingview.com/chart/?symbol=NSE:ENGINERSIN","ENGINERSIN")</f>
        <v/>
      </c>
      <c r="B3" t="n">
        <v>280.05</v>
      </c>
      <c r="C3" t="n">
        <v>57537014</v>
      </c>
      <c r="D3" t="n">
        <v>9115312</v>
      </c>
      <c r="E3" t="n">
        <v>15.84</v>
      </c>
      <c r="F3" t="n">
        <v>966310.0666666667</v>
      </c>
      <c r="G3" t="n">
        <v>9.43</v>
      </c>
      <c r="H3" t="n">
        <v>1611.32</v>
      </c>
      <c r="I3" t="n">
        <v>255.27</v>
      </c>
    </row>
    <row r="4">
      <c r="A4">
        <f>HYPERLINK("https://www.tradingview.com/chart/?symbol=NSE:HAPPSTMNDS","HAPPSTMNDS")</f>
        <v/>
      </c>
      <c r="B4" t="n">
        <v>362.7</v>
      </c>
      <c r="C4" t="n">
        <v>15538393</v>
      </c>
      <c r="D4" t="n">
        <v>4295093</v>
      </c>
      <c r="E4" t="n">
        <v>27.64</v>
      </c>
      <c r="F4" t="n">
        <v>674388.9333333333</v>
      </c>
      <c r="G4" t="n">
        <v>6.37</v>
      </c>
      <c r="H4" t="n">
        <v>563.58</v>
      </c>
      <c r="I4" t="n">
        <v>155.78</v>
      </c>
    </row>
    <row r="5">
      <c r="A5">
        <f>HYPERLINK("https://www.tradingview.com/chart/?symbol=NSE:HDFCSML250","HDFCSML250")</f>
        <v/>
      </c>
      <c r="B5" t="n">
        <v>185.65</v>
      </c>
      <c r="C5" t="n">
        <v>7719160</v>
      </c>
      <c r="D5" t="n">
        <v>6973772</v>
      </c>
      <c r="E5" t="n">
        <v>90.34</v>
      </c>
      <c r="F5" t="n">
        <v>918307.6</v>
      </c>
      <c r="G5" t="n">
        <v>7.59</v>
      </c>
      <c r="H5" t="n">
        <v>143.31</v>
      </c>
      <c r="I5" t="n">
        <v>129.47</v>
      </c>
    </row>
    <row r="6">
      <c r="A6">
        <f>HYPERLINK("https://www.tradingview.com/chart/?symbol=NSE:TBZ","TBZ")</f>
        <v/>
      </c>
      <c r="B6" t="n">
        <v>366.8</v>
      </c>
      <c r="C6" t="n">
        <v>14134183</v>
      </c>
      <c r="D6" t="n">
        <v>3512756</v>
      </c>
      <c r="E6" t="n">
        <v>24.85</v>
      </c>
      <c r="F6" t="n">
        <v>482231.4666666667</v>
      </c>
      <c r="G6" t="n">
        <v>7.28</v>
      </c>
      <c r="H6" t="n">
        <v>518.4400000000001</v>
      </c>
      <c r="I6" t="n">
        <v>128.85</v>
      </c>
    </row>
    <row r="7">
      <c r="A7">
        <f>HYPERLINK("https://www.tradingview.com/chart/?symbol=NSE:USHAMART","USHAMART")</f>
        <v/>
      </c>
      <c r="B7" t="n">
        <v>499.6</v>
      </c>
      <c r="C7" t="n">
        <v>4066851</v>
      </c>
      <c r="D7" t="n">
        <v>2574307</v>
      </c>
      <c r="E7" t="n">
        <v>63.3</v>
      </c>
      <c r="F7" t="n">
        <v>233507.9333333333</v>
      </c>
      <c r="G7" t="n">
        <v>11.02</v>
      </c>
      <c r="H7" t="n">
        <v>203.18</v>
      </c>
      <c r="I7" t="n">
        <v>128.61</v>
      </c>
    </row>
    <row r="8">
      <c r="A8">
        <f>HYPERLINK("https://www.tradingview.com/chart/?symbol=NSE:SSWL","SSWL")</f>
        <v/>
      </c>
      <c r="B8" t="n">
        <v>357.25</v>
      </c>
      <c r="C8" t="n">
        <v>28271167</v>
      </c>
      <c r="D8" t="n">
        <v>3312213</v>
      </c>
      <c r="E8" t="n">
        <v>11.72</v>
      </c>
      <c r="F8" t="n">
        <v>378282.0666666667</v>
      </c>
      <c r="G8" t="n">
        <v>8.76</v>
      </c>
      <c r="H8" t="n">
        <v>1009.99</v>
      </c>
      <c r="I8" t="n">
        <v>118.33</v>
      </c>
    </row>
    <row r="9">
      <c r="A9">
        <f>HYPERLINK("https://www.tradingview.com/chart/?symbol=NSE:SBFC","SBFC")</f>
        <v/>
      </c>
      <c r="B9" t="n">
        <v>99.95</v>
      </c>
      <c r="C9" t="n">
        <v>12820956</v>
      </c>
      <c r="D9" t="n">
        <v>10878117</v>
      </c>
      <c r="E9" t="n">
        <v>84.84999999999999</v>
      </c>
      <c r="F9" t="n">
        <v>937198.5</v>
      </c>
      <c r="G9" t="n">
        <v>11.61</v>
      </c>
      <c r="H9" t="n">
        <v>128.15</v>
      </c>
      <c r="I9" t="n">
        <v>108.73</v>
      </c>
    </row>
    <row r="10">
      <c r="A10">
        <f>HYPERLINK("https://www.tradingview.com/chart/?symbol=NSE:VTL","VTL")</f>
        <v/>
      </c>
      <c r="B10" t="n">
        <v>602.3</v>
      </c>
      <c r="C10" t="n">
        <v>26383732</v>
      </c>
      <c r="D10" t="n">
        <v>1552050</v>
      </c>
      <c r="E10" t="n">
        <v>5.88</v>
      </c>
      <c r="F10" t="n">
        <v>116411.2666666667</v>
      </c>
      <c r="G10" t="n">
        <v>13.33</v>
      </c>
      <c r="H10" t="n">
        <v>1589.09</v>
      </c>
      <c r="I10" t="n">
        <v>93.48</v>
      </c>
    </row>
    <row r="11">
      <c r="A11">
        <f>HYPERLINK("https://www.tradingview.com/chart/?symbol=NSE:GODREJAGRO","GODREJAGRO")</f>
        <v/>
      </c>
      <c r="B11" t="n">
        <v>654.4</v>
      </c>
      <c r="C11" t="n">
        <v>10860764</v>
      </c>
      <c r="D11" t="n">
        <v>1019934</v>
      </c>
      <c r="E11" t="n">
        <v>9.390000000000001</v>
      </c>
      <c r="F11" t="n">
        <v>113977.8</v>
      </c>
      <c r="G11" t="n">
        <v>8.949999999999999</v>
      </c>
      <c r="H11" t="n">
        <v>710.73</v>
      </c>
      <c r="I11" t="n">
        <v>66.73999999999999</v>
      </c>
    </row>
    <row r="12">
      <c r="A12">
        <f>HYPERLINK("https://www.tradingview.com/chart/?symbol=NSE:INDIAGLYCO","INDIAGLYCO")</f>
        <v/>
      </c>
      <c r="B12" t="n">
        <v>1111.7</v>
      </c>
      <c r="C12" t="n">
        <v>880527</v>
      </c>
      <c r="D12" t="n">
        <v>587949</v>
      </c>
      <c r="E12" t="n">
        <v>66.77</v>
      </c>
      <c r="F12" t="n">
        <v>107818.9</v>
      </c>
      <c r="G12" t="n">
        <v>5.45</v>
      </c>
      <c r="H12" t="n">
        <v>97.89</v>
      </c>
      <c r="I12" t="n">
        <v>65.36</v>
      </c>
    </row>
    <row r="13">
      <c r="A13">
        <f>HYPERLINK("https://www.tradingview.com/chart/?symbol=NSE:CAPLIPOINT","CAPLIPOINT")</f>
        <v/>
      </c>
      <c r="B13" t="n">
        <v>2711.2</v>
      </c>
      <c r="C13" t="n">
        <v>1992659</v>
      </c>
      <c r="D13" t="n">
        <v>224400</v>
      </c>
      <c r="E13" t="n">
        <v>11.26</v>
      </c>
      <c r="F13" t="n">
        <v>42431.4</v>
      </c>
      <c r="G13" t="n">
        <v>5.29</v>
      </c>
      <c r="H13" t="n">
        <v>540.25</v>
      </c>
      <c r="I13" t="n">
        <v>60.84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2026-09-01T21:17:35Z</dcterms:created>
  <dcterms:modified xsi:type="dcterms:W3CDTF">2026-09-01T21:17:35Z</dcterms:modified>
</cp:coreProperties>
</file>