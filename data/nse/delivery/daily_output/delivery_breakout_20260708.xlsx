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2" customWidth="1" min="3" max="3"/>
    <col width="19" customWidth="1" min="4" max="4"/>
  </cols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DELIVERY_RATIO</t>
        </is>
      </c>
    </row>
    <row r="2">
      <c r="A2">
        <f>HYPERLINK("https://www.tradingview.com/chart/?symbol=NSE:COCHINSHIP","COCHINSHIP")</f>
        <v/>
      </c>
      <c r="B2" t="n">
        <v>3073284</v>
      </c>
      <c r="C2" t="n">
        <v>431013.3793103448</v>
      </c>
      <c r="D2" t="n">
        <v>7.13</v>
      </c>
    </row>
    <row r="3">
      <c r="A3">
        <f>HYPERLINK("https://www.tradingview.com/chart/?symbol=NSE:CGCL","CGCL")</f>
        <v/>
      </c>
      <c r="B3" t="n">
        <v>8137413</v>
      </c>
      <c r="C3" t="n">
        <v>1529716.172413793</v>
      </c>
      <c r="D3" t="n">
        <v>5.32</v>
      </c>
    </row>
    <row r="4">
      <c r="A4">
        <f>HYPERLINK("https://www.tradingview.com/chart/?symbol=NSE:JBCHEPHARM","JBCHEPHARM")</f>
        <v/>
      </c>
      <c r="B4" t="n">
        <v>825889</v>
      </c>
      <c r="C4" t="n">
        <v>170766.0689655172</v>
      </c>
      <c r="D4" t="n">
        <v>4.84</v>
      </c>
    </row>
    <row r="5">
      <c r="A5">
        <f>HYPERLINK("https://www.tradingview.com/chart/?symbol=NSE:HOMEFIRST","HOMEFIRST")</f>
        <v/>
      </c>
      <c r="B5" t="n">
        <v>652363</v>
      </c>
      <c r="C5" t="n">
        <v>142207.4827586207</v>
      </c>
      <c r="D5" t="n">
        <v>4.59</v>
      </c>
    </row>
    <row r="6">
      <c r="A6">
        <f>HYPERLINK("https://www.tradingview.com/chart/?symbol=NSE:JKCEMENT","JKCEMENT")</f>
        <v/>
      </c>
      <c r="B6" t="n">
        <v>205433</v>
      </c>
      <c r="C6" t="n">
        <v>46080.34482758621</v>
      </c>
      <c r="D6" t="n">
        <v>4.46</v>
      </c>
    </row>
    <row r="7">
      <c r="A7">
        <f>HYPERLINK("https://www.tradingview.com/chart/?symbol=NSE:LODHA","LODHA")</f>
        <v/>
      </c>
      <c r="B7" t="n">
        <v>4651487</v>
      </c>
      <c r="C7" t="n">
        <v>1281385</v>
      </c>
      <c r="D7" t="n">
        <v>3.63</v>
      </c>
    </row>
    <row r="8">
      <c r="A8">
        <f>HYPERLINK("https://www.tradingview.com/chart/?symbol=NSE:JIOFIN","JIOFIN")</f>
        <v/>
      </c>
      <c r="B8" t="n">
        <v>19775308</v>
      </c>
      <c r="C8" t="n">
        <v>5525639.103448275</v>
      </c>
      <c r="D8" t="n">
        <v>3.58</v>
      </c>
    </row>
    <row r="9">
      <c r="A9">
        <f>HYPERLINK("https://www.tradingview.com/chart/?symbol=NSE:BHARTIHEXA","BHARTIHEXA")</f>
        <v/>
      </c>
      <c r="B9" t="n">
        <v>468668</v>
      </c>
      <c r="C9" t="n">
        <v>140518.8965517241</v>
      </c>
      <c r="D9" t="n">
        <v>3.34</v>
      </c>
    </row>
    <row r="10">
      <c r="A10">
        <f>HYPERLINK("https://www.tradingview.com/chart/?symbol=NSE:HINDPETRO","HINDPETRO")</f>
        <v/>
      </c>
      <c r="B10" t="n">
        <v>10304704</v>
      </c>
      <c r="C10" t="n">
        <v>3197260.413793103</v>
      </c>
      <c r="D10" t="n">
        <v>3.22</v>
      </c>
    </row>
    <row r="11">
      <c r="A11">
        <f>HYPERLINK("https://www.tradingview.com/chart/?symbol=NSE:GRAVITA","GRAVITA")</f>
        <v/>
      </c>
      <c r="B11" t="n">
        <v>266712</v>
      </c>
      <c r="C11" t="n">
        <v>84419.31034482758</v>
      </c>
      <c r="D11" t="n">
        <v>3.16</v>
      </c>
    </row>
    <row r="12">
      <c r="A12">
        <f>HYPERLINK("https://www.tradingview.com/chart/?symbol=NSE:NAUKRI","NAUKRI")</f>
        <v/>
      </c>
      <c r="B12" t="n">
        <v>4021642</v>
      </c>
      <c r="C12" t="n">
        <v>1271161.068965517</v>
      </c>
      <c r="D12" t="n">
        <v>3.16</v>
      </c>
    </row>
    <row r="13">
      <c r="A13">
        <f>HYPERLINK("https://www.tradingview.com/chart/?symbol=NSE:ABFRL","ABFRL")</f>
        <v/>
      </c>
      <c r="B13" t="n">
        <v>7735541</v>
      </c>
      <c r="C13" t="n">
        <v>2463090.862068966</v>
      </c>
      <c r="D13" t="n">
        <v>3.14</v>
      </c>
    </row>
    <row r="14">
      <c r="A14">
        <f>HYPERLINK("https://www.tradingview.com/chart/?symbol=NSE:UNITDSPR","UNITDSPR")</f>
        <v/>
      </c>
      <c r="B14" t="n">
        <v>1593118</v>
      </c>
      <c r="C14" t="n">
        <v>510261.2068965517</v>
      </c>
      <c r="D14" t="n">
        <v>3.12</v>
      </c>
    </row>
    <row r="15">
      <c r="A15">
        <f>HYPERLINK("https://www.tradingview.com/chart/?symbol=NSE:PWL","PWL")</f>
        <v/>
      </c>
      <c r="B15" t="n">
        <v>10383273</v>
      </c>
      <c r="C15" t="n">
        <v>3357159.827586207</v>
      </c>
      <c r="D15" t="n">
        <v>3.09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2026-07-09T20:26:54Z</dcterms:created>
  <dcterms:modified xsi:type="dcterms:W3CDTF">2026-07-09T20:26:54Z</dcterms:modified>
</cp:coreProperties>
</file>