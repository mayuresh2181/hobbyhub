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HYPERLINK("https://www.tradingview.com/chart/?symbol=NSE:LICI","LICI")</f>
        <v/>
      </c>
      <c r="B2" t="n">
        <v>406</v>
      </c>
      <c r="C2" t="n">
        <v>49779915</v>
      </c>
      <c r="D2" t="n">
        <v>27921008</v>
      </c>
      <c r="E2" t="n">
        <v>56.09</v>
      </c>
      <c r="F2" t="n">
        <v>5174754.366666666</v>
      </c>
      <c r="G2" t="n">
        <v>5.4</v>
      </c>
      <c r="H2" t="n">
        <v>2021.06</v>
      </c>
      <c r="I2" t="n">
        <v>1133.59</v>
      </c>
    </row>
    <row r="3">
      <c r="A3">
        <f>HYPERLINK("https://www.tradingview.com/chart/?symbol=NSE:CHENNPETRO","CHENNPETRO")</f>
        <v/>
      </c>
      <c r="B3" t="n">
        <v>1426.1</v>
      </c>
      <c r="C3" t="n">
        <v>17236108</v>
      </c>
      <c r="D3" t="n">
        <v>2767633</v>
      </c>
      <c r="E3" t="n">
        <v>16.06</v>
      </c>
      <c r="F3" t="n">
        <v>503793</v>
      </c>
      <c r="G3" t="n">
        <v>5.49</v>
      </c>
      <c r="H3" t="n">
        <v>2458.04</v>
      </c>
      <c r="I3" t="n">
        <v>394.69</v>
      </c>
    </row>
    <row r="4">
      <c r="A4">
        <f>HYPERLINK("https://www.tradingview.com/chart/?symbol=NSE:LUMAXTECH","LUMAXTECH")</f>
        <v/>
      </c>
      <c r="B4" t="n">
        <v>2076.3</v>
      </c>
      <c r="C4" t="n">
        <v>5661267</v>
      </c>
      <c r="D4" t="n">
        <v>938972</v>
      </c>
      <c r="E4" t="n">
        <v>16.59</v>
      </c>
      <c r="F4" t="n">
        <v>65255.93333333333</v>
      </c>
      <c r="G4" t="n">
        <v>14.39</v>
      </c>
      <c r="H4" t="n">
        <v>1175.45</v>
      </c>
      <c r="I4" t="n">
        <v>194.96</v>
      </c>
    </row>
    <row r="5">
      <c r="A5">
        <f>HYPERLINK("https://www.tradingview.com/chart/?symbol=NSE:FINCABLES","FINCABLES")</f>
        <v/>
      </c>
      <c r="B5" t="n">
        <v>1207.85</v>
      </c>
      <c r="C5" t="n">
        <v>8840419</v>
      </c>
      <c r="D5" t="n">
        <v>1469051</v>
      </c>
      <c r="E5" t="n">
        <v>16.62</v>
      </c>
      <c r="F5" t="n">
        <v>114561.9666666667</v>
      </c>
      <c r="G5" t="n">
        <v>12.82</v>
      </c>
      <c r="H5" t="n">
        <v>1067.79</v>
      </c>
      <c r="I5" t="n">
        <v>177.44</v>
      </c>
    </row>
    <row r="6">
      <c r="A6">
        <f>HYPERLINK("https://www.tradingview.com/chart/?symbol=NSE:AARTIPHARM","AARTIPHARM")</f>
        <v/>
      </c>
      <c r="B6" t="n">
        <v>883.7</v>
      </c>
      <c r="C6" t="n">
        <v>14873286</v>
      </c>
      <c r="D6" t="n">
        <v>1446404</v>
      </c>
      <c r="E6" t="n">
        <v>9.720000000000001</v>
      </c>
      <c r="F6" t="n">
        <v>102087.3333333333</v>
      </c>
      <c r="G6" t="n">
        <v>14.17</v>
      </c>
      <c r="H6" t="n">
        <v>1314.35</v>
      </c>
      <c r="I6" t="n">
        <v>127.82</v>
      </c>
    </row>
    <row r="7">
      <c r="A7">
        <f>HYPERLINK("https://www.tradingview.com/chart/?symbol=NSE:ROLEXRINGS","ROLEXRINGS")</f>
        <v/>
      </c>
      <c r="B7" t="n">
        <v>177.29</v>
      </c>
      <c r="C7" t="n">
        <v>56026330</v>
      </c>
      <c r="D7" t="n">
        <v>6105419</v>
      </c>
      <c r="E7" t="n">
        <v>10.9</v>
      </c>
      <c r="F7" t="n">
        <v>836230.2666666667</v>
      </c>
      <c r="G7" t="n">
        <v>7.3</v>
      </c>
      <c r="H7" t="n">
        <v>993.29</v>
      </c>
      <c r="I7" t="n">
        <v>108.24</v>
      </c>
    </row>
    <row r="8">
      <c r="A8">
        <f>HYPERLINK("https://www.tradingview.com/chart/?symbol=NSE:CIEINDIA","CIEINDIA")</f>
        <v/>
      </c>
      <c r="B8" t="n">
        <v>413</v>
      </c>
      <c r="C8" t="n">
        <v>3533773</v>
      </c>
      <c r="D8" t="n">
        <v>2454323</v>
      </c>
      <c r="E8" t="n">
        <v>69.45</v>
      </c>
      <c r="F8" t="n">
        <v>208428.6</v>
      </c>
      <c r="G8" t="n">
        <v>11.78</v>
      </c>
      <c r="H8" t="n">
        <v>145.94</v>
      </c>
      <c r="I8" t="n">
        <v>101.36</v>
      </c>
    </row>
    <row r="9">
      <c r="A9">
        <f>HYPERLINK("https://www.tradingview.com/chart/?symbol=NSE:KPIGREEN","KPIGREEN")</f>
        <v/>
      </c>
      <c r="B9" t="n">
        <v>350.9</v>
      </c>
      <c r="C9" t="n">
        <v>11787049</v>
      </c>
      <c r="D9" t="n">
        <v>2865823</v>
      </c>
      <c r="E9" t="n">
        <v>24.31</v>
      </c>
      <c r="F9" t="n">
        <v>232457.0666666667</v>
      </c>
      <c r="G9" t="n">
        <v>12.33</v>
      </c>
      <c r="H9" t="n">
        <v>413.61</v>
      </c>
      <c r="I9" t="n">
        <v>100.56</v>
      </c>
    </row>
    <row r="10">
      <c r="A10">
        <f>HYPERLINK("https://www.tradingview.com/chart/?symbol=NSE:FINEORG","FINEORG")</f>
        <v/>
      </c>
      <c r="B10" t="n">
        <v>5120.7</v>
      </c>
      <c r="C10" t="n">
        <v>232633</v>
      </c>
      <c r="D10" t="n">
        <v>194958</v>
      </c>
      <c r="E10" t="n">
        <v>83.8</v>
      </c>
      <c r="F10" t="n">
        <v>7056.133333333333</v>
      </c>
      <c r="G10" t="n">
        <v>27.63</v>
      </c>
      <c r="H10" t="n">
        <v>119.12</v>
      </c>
      <c r="I10" t="n">
        <v>99.83</v>
      </c>
    </row>
    <row r="11">
      <c r="A11">
        <f>HYPERLINK("https://www.tradingview.com/chart/?symbol=NSE:KSHINTL","KSHINTL")</f>
        <v/>
      </c>
      <c r="B11" t="n">
        <v>988.95</v>
      </c>
      <c r="C11" t="n">
        <v>3497625</v>
      </c>
      <c r="D11" t="n">
        <v>921725</v>
      </c>
      <c r="E11" t="n">
        <v>26.35</v>
      </c>
      <c r="F11" t="n">
        <v>128894.9666666667</v>
      </c>
      <c r="G11" t="n">
        <v>7.15</v>
      </c>
      <c r="H11" t="n">
        <v>345.9</v>
      </c>
      <c r="I11" t="n">
        <v>91.15000000000001</v>
      </c>
    </row>
    <row r="12">
      <c r="A12">
        <f>HYPERLINK("https://www.tradingview.com/chart/?symbol=NSE:GOODLUCK","GOODLUCK")</f>
        <v/>
      </c>
      <c r="B12" t="n">
        <v>1330.5</v>
      </c>
      <c r="C12" t="n">
        <v>1492136</v>
      </c>
      <c r="D12" t="n">
        <v>641286</v>
      </c>
      <c r="E12" t="n">
        <v>42.98</v>
      </c>
      <c r="F12" t="n">
        <v>88775.2</v>
      </c>
      <c r="G12" t="n">
        <v>7.22</v>
      </c>
      <c r="H12" t="n">
        <v>198.53</v>
      </c>
      <c r="I12" t="n">
        <v>85.31999999999999</v>
      </c>
    </row>
    <row r="13">
      <c r="A13">
        <f>HYPERLINK("https://www.tradingview.com/chart/?symbol=NSE:EIDPARRY","EIDPARRY")</f>
        <v/>
      </c>
      <c r="B13" t="n">
        <v>788.5</v>
      </c>
      <c r="C13" t="n">
        <v>1342514</v>
      </c>
      <c r="D13" t="n">
        <v>1026974</v>
      </c>
      <c r="E13" t="n">
        <v>76.5</v>
      </c>
      <c r="F13" t="n">
        <v>174569.8</v>
      </c>
      <c r="G13" t="n">
        <v>5.88</v>
      </c>
      <c r="H13" t="n">
        <v>105.86</v>
      </c>
      <c r="I13" t="n">
        <v>80.98</v>
      </c>
    </row>
    <row r="14">
      <c r="A14">
        <f>HYPERLINK("https://www.tradingview.com/chart/?symbol=NSE:POLYMED","POLYMED")</f>
        <v/>
      </c>
      <c r="B14" t="n">
        <v>1863.9</v>
      </c>
      <c r="C14" t="n">
        <v>1023997</v>
      </c>
      <c r="D14" t="n">
        <v>390387</v>
      </c>
      <c r="E14" t="n">
        <v>38.12</v>
      </c>
      <c r="F14" t="n">
        <v>54680.46666666667</v>
      </c>
      <c r="G14" t="n">
        <v>7.14</v>
      </c>
      <c r="H14" t="n">
        <v>190.86</v>
      </c>
      <c r="I14" t="n">
        <v>72.76000000000001</v>
      </c>
    </row>
    <row r="15">
      <c r="A15">
        <f>HYPERLINK("https://www.tradingview.com/chart/?symbol=NSE:INDSWFTLAB","INDSWFTLAB")</f>
        <v/>
      </c>
      <c r="B15" t="n">
        <v>284.68</v>
      </c>
      <c r="C15" t="n">
        <v>9123251</v>
      </c>
      <c r="D15" t="n">
        <v>1914672</v>
      </c>
      <c r="E15" t="n">
        <v>20.99</v>
      </c>
      <c r="F15" t="n">
        <v>325075.6666666667</v>
      </c>
      <c r="G15" t="n">
        <v>5.89</v>
      </c>
      <c r="H15" t="n">
        <v>259.72</v>
      </c>
      <c r="I15" t="n">
        <v>54.51</v>
      </c>
    </row>
    <row r="16">
      <c r="A16">
        <f>HYPERLINK("https://www.tradingview.com/chart/?symbol=NSE:KOLTEPATIL","KOLTEPATIL")</f>
        <v/>
      </c>
      <c r="B16" t="n">
        <v>516.6</v>
      </c>
      <c r="C16" t="n">
        <v>12115889</v>
      </c>
      <c r="D16" t="n">
        <v>997349</v>
      </c>
      <c r="E16" t="n">
        <v>8.23</v>
      </c>
      <c r="F16" t="n">
        <v>57570.6</v>
      </c>
      <c r="G16" t="n">
        <v>17.32</v>
      </c>
      <c r="H16" t="n">
        <v>625.91</v>
      </c>
      <c r="I16" t="n">
        <v>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2026-08-11T19:40:58Z</dcterms:created>
  <dcterms:modified xsi:type="dcterms:W3CDTF">2026-08-11T19:40:58Z</dcterms:modified>
</cp:coreProperties>
</file>