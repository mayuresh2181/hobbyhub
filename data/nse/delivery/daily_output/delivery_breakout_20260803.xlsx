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15" customWidth="1" min="3" max="3"/>
    <col width="15" customWidth="1" min="4" max="4"/>
    <col width="13" customWidth="1" min="5" max="5"/>
    <col width="20" customWidth="1" min="6" max="6"/>
    <col width="17" customWidth="1" min="7" max="7"/>
    <col width="18" customWidth="1" min="8" max="8"/>
    <col width="20" customWidth="1" min="9" max="9"/>
  </cols>
  <sheetData>
    <row r="1">
      <c r="A1" s="1" t="inlineStr">
        <is>
          <t>SYMBOL</t>
        </is>
      </c>
      <c r="B1" s="1" t="inlineStr">
        <is>
          <t>LTP</t>
        </is>
      </c>
      <c r="C1" s="1" t="inlineStr">
        <is>
          <t>TOTAL_VOLUME</t>
        </is>
      </c>
      <c r="D1" s="1" t="inlineStr">
        <is>
          <t>DELIVERY_QTY</t>
        </is>
      </c>
      <c r="E1" s="1" t="inlineStr">
        <is>
          <t>DELIVERY_%</t>
        </is>
      </c>
      <c r="F1" s="1" t="inlineStr">
        <is>
          <t>AVG_30_DELIVERY</t>
        </is>
      </c>
      <c r="G1" s="1" t="inlineStr">
        <is>
          <t>DELIVERY_RATIO</t>
        </is>
      </c>
      <c r="H1" s="1" t="inlineStr">
        <is>
          <t>TRADED_VALUE_CR</t>
        </is>
      </c>
      <c r="I1" s="1" t="inlineStr">
        <is>
          <t>DELIVERY_VALUE_CR</t>
        </is>
      </c>
    </row>
    <row r="2">
      <c r="A2">
        <f>HYPERLINK("https://www.tradingview.com/chart/?symbol=NSE:MUTHOOTFIN","MUTHOOTFIN")</f>
        <v/>
      </c>
      <c r="B2" t="n">
        <v>2890.9</v>
      </c>
      <c r="C2" t="n">
        <v>8573629</v>
      </c>
      <c r="D2" t="n">
        <v>3354666</v>
      </c>
      <c r="E2" t="n">
        <v>39.13</v>
      </c>
      <c r="F2" t="n">
        <v>546507.6</v>
      </c>
      <c r="G2" t="n">
        <v>6.14</v>
      </c>
      <c r="H2" t="n">
        <v>2478.55</v>
      </c>
      <c r="I2" t="n">
        <v>969.8</v>
      </c>
    </row>
    <row r="3">
      <c r="A3">
        <f>HYPERLINK("https://www.tradingview.com/chart/?symbol=NSE:APLAPOLLO","APLAPOLLO")</f>
        <v/>
      </c>
      <c r="B3" t="n">
        <v>1941.5</v>
      </c>
      <c r="C3" t="n">
        <v>4251591</v>
      </c>
      <c r="D3" t="n">
        <v>2010454</v>
      </c>
      <c r="E3" t="n">
        <v>47.29</v>
      </c>
      <c r="F3" t="n">
        <v>309207.0666666667</v>
      </c>
      <c r="G3" t="n">
        <v>6.5</v>
      </c>
      <c r="H3" t="n">
        <v>825.45</v>
      </c>
      <c r="I3" t="n">
        <v>390.33</v>
      </c>
    </row>
    <row r="4">
      <c r="A4">
        <f>HYPERLINK("https://www.tradingview.com/chart/?symbol=NSE:MANAPPURAM","MANAPPURAM")</f>
        <v/>
      </c>
      <c r="B4" t="n">
        <v>365</v>
      </c>
      <c r="C4" t="n">
        <v>17549652</v>
      </c>
      <c r="D4" t="n">
        <v>10474008</v>
      </c>
      <c r="E4" t="n">
        <v>59.68</v>
      </c>
      <c r="F4" t="n">
        <v>1794856.333333333</v>
      </c>
      <c r="G4" t="n">
        <v>5.84</v>
      </c>
      <c r="H4" t="n">
        <v>640.5599999999999</v>
      </c>
      <c r="I4" t="n">
        <v>382.3</v>
      </c>
    </row>
    <row r="5">
      <c r="A5">
        <f>HYPERLINK("https://www.tradingview.com/chart/?symbol=NSE:URBANCO","URBANCO")</f>
        <v/>
      </c>
      <c r="B5" t="n">
        <v>146.19</v>
      </c>
      <c r="C5" t="n">
        <v>92834272</v>
      </c>
      <c r="D5" t="n">
        <v>16433084</v>
      </c>
      <c r="E5" t="n">
        <v>17.7</v>
      </c>
      <c r="F5" t="n">
        <v>1134241.8</v>
      </c>
      <c r="G5" t="n">
        <v>14.49</v>
      </c>
      <c r="H5" t="n">
        <v>1357.14</v>
      </c>
      <c r="I5" t="n">
        <v>240.24</v>
      </c>
    </row>
    <row r="6">
      <c r="A6">
        <f>HYPERLINK("https://www.tradingview.com/chart/?symbol=NSE:NH","NH")</f>
        <v/>
      </c>
      <c r="B6" t="n">
        <v>1919.7</v>
      </c>
      <c r="C6" t="n">
        <v>1188916</v>
      </c>
      <c r="D6" t="n">
        <v>706517</v>
      </c>
      <c r="E6" t="n">
        <v>59.43</v>
      </c>
      <c r="F6" t="n">
        <v>139338.4333333333</v>
      </c>
      <c r="G6" t="n">
        <v>5.07</v>
      </c>
      <c r="H6" t="n">
        <v>228.24</v>
      </c>
      <c r="I6" t="n">
        <v>135.63</v>
      </c>
    </row>
    <row r="7">
      <c r="A7">
        <f>HYPERLINK("https://www.tradingview.com/chart/?symbol=NSE:CCAVENUE","CCAVENUE")</f>
        <v/>
      </c>
      <c r="B7" t="n">
        <v>17.43</v>
      </c>
      <c r="C7" t="n">
        <v>95564917</v>
      </c>
      <c r="D7" t="n">
        <v>42051270</v>
      </c>
      <c r="E7" t="n">
        <v>44</v>
      </c>
      <c r="F7" t="n">
        <v>7750352.3</v>
      </c>
      <c r="G7" t="n">
        <v>5.43</v>
      </c>
      <c r="H7" t="n">
        <v>166.57</v>
      </c>
      <c r="I7" t="n">
        <v>73.3</v>
      </c>
    </row>
    <row r="8">
      <c r="A8">
        <f>HYPERLINK("https://www.tradingview.com/chart/?symbol=NSE:CLEAN","CLEAN")</f>
        <v/>
      </c>
      <c r="B8" t="n">
        <v>764.15</v>
      </c>
      <c r="C8" t="n">
        <v>3558094</v>
      </c>
      <c r="D8" t="n">
        <v>868684</v>
      </c>
      <c r="E8" t="n">
        <v>24.41</v>
      </c>
      <c r="F8" t="n">
        <v>119203.9333333333</v>
      </c>
      <c r="G8" t="n">
        <v>7.29</v>
      </c>
      <c r="H8" t="n">
        <v>271.89</v>
      </c>
      <c r="I8" t="n">
        <v>66.38</v>
      </c>
    </row>
    <row r="9">
      <c r="A9">
        <f>HYPERLINK("https://www.tradingview.com/chart/?symbol=NSE:NIFTYETF","NIFTYETF")</f>
        <v/>
      </c>
      <c r="B9" t="n">
        <v>267.69</v>
      </c>
      <c r="C9" t="n">
        <v>2196167</v>
      </c>
      <c r="D9" t="n">
        <v>2036194</v>
      </c>
      <c r="E9" t="n">
        <v>92.72</v>
      </c>
      <c r="F9" t="n">
        <v>174144.3</v>
      </c>
      <c r="G9" t="n">
        <v>11.69</v>
      </c>
      <c r="H9" t="n">
        <v>58.79</v>
      </c>
      <c r="I9" t="n">
        <v>54.51</v>
      </c>
    </row>
    <row r="10">
      <c r="A10">
        <f>HYPERLINK("https://www.tradingview.com/chart/?symbol=NSE:THELEELA","THELEELA")</f>
        <v/>
      </c>
      <c r="B10" t="n">
        <v>501.8</v>
      </c>
      <c r="C10" t="n">
        <v>2192952</v>
      </c>
      <c r="D10" t="n">
        <v>1071189</v>
      </c>
      <c r="E10" t="n">
        <v>48.85</v>
      </c>
      <c r="F10" t="n">
        <v>173200.7333333333</v>
      </c>
      <c r="G10" t="n">
        <v>6.18</v>
      </c>
      <c r="H10" t="n">
        <v>110.04</v>
      </c>
      <c r="I10" t="n">
        <v>53.75</v>
      </c>
    </row>
    <row r="11">
      <c r="A11">
        <f>HYPERLINK("https://www.tradingview.com/chart/?symbol=NSE:BLUEDART","BLUEDART")</f>
        <v/>
      </c>
      <c r="B11" t="n">
        <v>5427</v>
      </c>
      <c r="C11" t="n">
        <v>601176</v>
      </c>
      <c r="D11" t="n">
        <v>95446</v>
      </c>
      <c r="E11" t="n">
        <v>15.88</v>
      </c>
      <c r="F11" t="n">
        <v>5933.733333333334</v>
      </c>
      <c r="G11" t="n">
        <v>16.09</v>
      </c>
      <c r="H11" t="n">
        <v>326.26</v>
      </c>
      <c r="I11" t="n">
        <v>51.8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2026-08-03T20:16:26Z</dcterms:created>
  <dcterms:modified xsi:type="dcterms:W3CDTF">2026-08-03T20:16:26Z</dcterms:modified>
</cp:coreProperties>
</file>