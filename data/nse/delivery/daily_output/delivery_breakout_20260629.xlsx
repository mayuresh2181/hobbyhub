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HYPERLINK("https://www.tradingview.com/chart/?symbol=NSE:PERSISTENT","PERSISTENT")</f>
        <v/>
      </c>
      <c r="B2" t="n">
        <v>2774041</v>
      </c>
      <c r="C2" t="n">
        <v>218999.3448275862</v>
      </c>
      <c r="D2" t="n">
        <v>12.67</v>
      </c>
    </row>
    <row r="3">
      <c r="A3">
        <f>HYPERLINK("https://www.tradingview.com/chart/?symbol=NSE:ASAHIINDIA","ASAHIINDIA")</f>
        <v/>
      </c>
      <c r="B3" t="n">
        <v>494100</v>
      </c>
      <c r="C3" t="n">
        <v>48611.06896551724</v>
      </c>
      <c r="D3" t="n">
        <v>10.16</v>
      </c>
    </row>
    <row r="4">
      <c r="A4">
        <f>HYPERLINK("https://www.tradingview.com/chart/?symbol=NSE:MFSL","MFSL")</f>
        <v/>
      </c>
      <c r="B4" t="n">
        <v>3273137</v>
      </c>
      <c r="C4" t="n">
        <v>342562.5172413793</v>
      </c>
      <c r="D4" t="n">
        <v>9.550000000000001</v>
      </c>
    </row>
    <row r="5">
      <c r="A5">
        <f>HYPERLINK("https://www.tradingview.com/chart/?symbol=NSE:BHARATFORG","BHARATFORG")</f>
        <v/>
      </c>
      <c r="B5" t="n">
        <v>5057194</v>
      </c>
      <c r="C5" t="n">
        <v>548950.0344827586</v>
      </c>
      <c r="D5" t="n">
        <v>9.210000000000001</v>
      </c>
    </row>
    <row r="6">
      <c r="A6">
        <f>HYPERLINK("https://www.tradingview.com/chart/?symbol=NSE:ZYDUSWELL","ZYDUSWELL")</f>
        <v/>
      </c>
      <c r="B6" t="n">
        <v>1392802</v>
      </c>
      <c r="C6" t="n">
        <v>151688.7586206897</v>
      </c>
      <c r="D6" t="n">
        <v>9.18</v>
      </c>
    </row>
    <row r="7">
      <c r="A7">
        <f>HYPERLINK("https://www.tradingview.com/chart/?symbol=NSE:MUTHOOTFIN","MUTHOOTFIN")</f>
        <v/>
      </c>
      <c r="B7" t="n">
        <v>3119201</v>
      </c>
      <c r="C7" t="n">
        <v>345957.3448275862</v>
      </c>
      <c r="D7" t="n">
        <v>9.02</v>
      </c>
    </row>
    <row r="8">
      <c r="A8">
        <f>HYPERLINK("https://www.tradingview.com/chart/?symbol=NSE:UPL","UPL")</f>
        <v/>
      </c>
      <c r="B8" t="n">
        <v>9710329</v>
      </c>
      <c r="C8" t="n">
        <v>1098783.655172414</v>
      </c>
      <c r="D8" t="n">
        <v>8.84</v>
      </c>
    </row>
    <row r="9">
      <c r="A9">
        <f>HYPERLINK("https://www.tradingview.com/chart/?symbol=NSE:ZFCVINDIA","ZFCVINDIA")</f>
        <v/>
      </c>
      <c r="B9" t="n">
        <v>246488</v>
      </c>
      <c r="C9" t="n">
        <v>27946.96551724138</v>
      </c>
      <c r="D9" t="n">
        <v>8.82</v>
      </c>
    </row>
    <row r="10">
      <c r="A10">
        <f>HYPERLINK("https://www.tradingview.com/chart/?symbol=NSE:HEROMOTOCO","HEROMOTOCO")</f>
        <v/>
      </c>
      <c r="B10" t="n">
        <v>2640573</v>
      </c>
      <c r="C10" t="n">
        <v>302231.8620689655</v>
      </c>
      <c r="D10" t="n">
        <v>8.74</v>
      </c>
    </row>
    <row r="11">
      <c r="A11">
        <f>HYPERLINK("https://www.tradingview.com/chart/?symbol=NSE:LTF","LTF")</f>
        <v/>
      </c>
      <c r="B11" t="n">
        <v>17403636</v>
      </c>
      <c r="C11" t="n">
        <v>2023401.931034483</v>
      </c>
      <c r="D11" t="n">
        <v>8.6</v>
      </c>
    </row>
    <row r="12">
      <c r="A12">
        <f>HYPERLINK("https://www.tradingview.com/chart/?symbol=NSE:LAURUSLABS","LAURUSLABS")</f>
        <v/>
      </c>
      <c r="B12" t="n">
        <v>8581418</v>
      </c>
      <c r="C12" t="n">
        <v>1001177.275862069</v>
      </c>
      <c r="D12" t="n">
        <v>8.57</v>
      </c>
    </row>
    <row r="13">
      <c r="A13">
        <f>HYPERLINK("https://www.tradingview.com/chart/?symbol=NSE:BHARTIHEXA","BHARTIHEXA")</f>
        <v/>
      </c>
      <c r="B13" t="n">
        <v>723405</v>
      </c>
      <c r="C13" t="n">
        <v>85145.37931034483</v>
      </c>
      <c r="D13" t="n">
        <v>8.5</v>
      </c>
    </row>
    <row r="14">
      <c r="A14">
        <f>HYPERLINK("https://www.tradingview.com/chart/?symbol=NSE:FORTIS","FORTIS")</f>
        <v/>
      </c>
      <c r="B14" t="n">
        <v>5508131</v>
      </c>
      <c r="C14" t="n">
        <v>702884.3793103448</v>
      </c>
      <c r="D14" t="n">
        <v>7.84</v>
      </c>
    </row>
    <row r="15">
      <c r="A15">
        <f>HYPERLINK("https://www.tradingview.com/chart/?symbol=NSE:KEI","KEI")</f>
        <v/>
      </c>
      <c r="B15" t="n">
        <v>989199</v>
      </c>
      <c r="C15" t="n">
        <v>126578.8965517241</v>
      </c>
      <c r="D15" t="n">
        <v>7.81</v>
      </c>
    </row>
    <row r="16">
      <c r="A16">
        <f>HYPERLINK("https://www.tradingview.com/chart/?symbol=NSE:AUBANK","AUBANK")</f>
        <v/>
      </c>
      <c r="B16" t="n">
        <v>7664364</v>
      </c>
      <c r="C16" t="n">
        <v>994237.4137931034</v>
      </c>
      <c r="D16" t="n">
        <v>7.71</v>
      </c>
    </row>
    <row r="17">
      <c r="A17">
        <f>HYPERLINK("https://www.tradingview.com/chart/?symbol=NSE:ACUTAAS","ACUTAAS")</f>
        <v/>
      </c>
      <c r="B17" t="n">
        <v>1277441</v>
      </c>
      <c r="C17" t="n">
        <v>177662.4137931034</v>
      </c>
      <c r="D17" t="n">
        <v>7.19</v>
      </c>
    </row>
    <row r="18">
      <c r="A18">
        <f>HYPERLINK("https://www.tradingview.com/chart/?symbol=NSE:PAYTM","PAYTM")</f>
        <v/>
      </c>
      <c r="B18" t="n">
        <v>5356150</v>
      </c>
      <c r="C18" t="n">
        <v>779036.551724138</v>
      </c>
      <c r="D18" t="n">
        <v>6.88</v>
      </c>
    </row>
    <row r="19">
      <c r="A19">
        <f>HYPERLINK("https://www.tradingview.com/chart/?symbol=NSE:UTIAMC","UTIAMC")</f>
        <v/>
      </c>
      <c r="B19" t="n">
        <v>326147</v>
      </c>
      <c r="C19" t="n">
        <v>47501.65517241379</v>
      </c>
      <c r="D19" t="n">
        <v>6.87</v>
      </c>
    </row>
    <row r="20">
      <c r="A20">
        <f>HYPERLINK("https://www.tradingview.com/chart/?symbol=NSE:BHEL","BHEL")</f>
        <v/>
      </c>
      <c r="B20" t="n">
        <v>30433402</v>
      </c>
      <c r="C20" t="n">
        <v>4450880</v>
      </c>
      <c r="D20" t="n">
        <v>6.84</v>
      </c>
    </row>
    <row r="21">
      <c r="A21">
        <f>HYPERLINK("https://www.tradingview.com/chart/?symbol=NSE:CANFINHOME","CANFINHOME")</f>
        <v/>
      </c>
      <c r="B21" t="n">
        <v>643471</v>
      </c>
      <c r="C21" t="n">
        <v>98090.3448275862</v>
      </c>
      <c r="D21" t="n">
        <v>6.56</v>
      </c>
    </row>
    <row r="22">
      <c r="A22">
        <f>HYPERLINK("https://www.tradingview.com/chart/?symbol=NSE:EICHERMOT","EICHERMOT")</f>
        <v/>
      </c>
      <c r="B22" t="n">
        <v>1704611</v>
      </c>
      <c r="C22" t="n">
        <v>263991.724137931</v>
      </c>
      <c r="D22" t="n">
        <v>6.46</v>
      </c>
    </row>
    <row r="23">
      <c r="A23">
        <f>HYPERLINK("https://www.tradingview.com/chart/?symbol=NSE:BOSCHLTD","BOSCHLTD")</f>
        <v/>
      </c>
      <c r="B23" t="n">
        <v>111842</v>
      </c>
      <c r="C23" t="n">
        <v>19459</v>
      </c>
      <c r="D23" t="n">
        <v>5.75</v>
      </c>
    </row>
    <row r="24">
      <c r="A24">
        <f>HYPERLINK("https://www.tradingview.com/chart/?symbol=NSE:POLYCAB","POLYCAB")</f>
        <v/>
      </c>
      <c r="B24" t="n">
        <v>796767</v>
      </c>
      <c r="C24" t="n">
        <v>140468.6551724138</v>
      </c>
      <c r="D24" t="n">
        <v>5.67</v>
      </c>
    </row>
    <row r="25">
      <c r="A25">
        <f>HYPERLINK("https://www.tradingview.com/chart/?symbol=NSE:LICHSGFIN","LICHSGFIN")</f>
        <v/>
      </c>
      <c r="B25" t="n">
        <v>3857302</v>
      </c>
      <c r="C25" t="n">
        <v>687232</v>
      </c>
      <c r="D25" t="n">
        <v>5.61</v>
      </c>
    </row>
    <row r="26">
      <c r="A26">
        <f>HYPERLINK("https://www.tradingview.com/chart/?symbol=NSE:SBILIFE","SBILIFE")</f>
        <v/>
      </c>
      <c r="B26" t="n">
        <v>2887976</v>
      </c>
      <c r="C26" t="n">
        <v>532680.551724138</v>
      </c>
      <c r="D26" t="n">
        <v>5.42</v>
      </c>
    </row>
    <row r="27">
      <c r="A27">
        <f>HYPERLINK("https://www.tradingview.com/chart/?symbol=NSE:AJANTPHARM","AJANTPHARM")</f>
        <v/>
      </c>
      <c r="B27" t="n">
        <v>324559</v>
      </c>
      <c r="C27" t="n">
        <v>61041.13793103449</v>
      </c>
      <c r="D27" t="n">
        <v>5.32</v>
      </c>
    </row>
    <row r="28">
      <c r="A28">
        <f>HYPERLINK("https://www.tradingview.com/chart/?symbol=NSE:PFIZER","PFIZER")</f>
        <v/>
      </c>
      <c r="B28" t="n">
        <v>63209</v>
      </c>
      <c r="C28" t="n">
        <v>11917.03448275862</v>
      </c>
      <c r="D28" t="n">
        <v>5.3</v>
      </c>
    </row>
    <row r="29">
      <c r="A29">
        <f>HYPERLINK("https://www.tradingview.com/chart/?symbol=NSE:ASIANPAINT","ASIANPAINT")</f>
        <v/>
      </c>
      <c r="B29" t="n">
        <v>3790723</v>
      </c>
      <c r="C29" t="n">
        <v>727672.8620689656</v>
      </c>
      <c r="D29" t="n">
        <v>5.21</v>
      </c>
    </row>
    <row r="30">
      <c r="A30">
        <f>HYPERLINK("https://www.tradingview.com/chart/?symbol=NSE:GVT&amp;D","GVT&amp;D")</f>
        <v/>
      </c>
      <c r="B30" t="n">
        <v>2654656</v>
      </c>
      <c r="C30" t="n">
        <v>513367.3793103448</v>
      </c>
      <c r="D30" t="n">
        <v>5.17</v>
      </c>
    </row>
    <row r="31">
      <c r="A31">
        <f>HYPERLINK("https://www.tradingview.com/chart/?symbol=NSE:CUMMINSIND","CUMMINSIND")</f>
        <v/>
      </c>
      <c r="B31" t="n">
        <v>1278869</v>
      </c>
      <c r="C31" t="n">
        <v>249281.0689655172</v>
      </c>
      <c r="D31" t="n">
        <v>5.13</v>
      </c>
    </row>
    <row r="32">
      <c r="A32">
        <f>HYPERLINK("https://www.tradingview.com/chart/?symbol=NSE:VIJAYA","VIJAYA")</f>
        <v/>
      </c>
      <c r="B32" t="n">
        <v>533965</v>
      </c>
      <c r="C32" t="n">
        <v>107097.2068965517</v>
      </c>
      <c r="D32" t="n">
        <v>4.99</v>
      </c>
    </row>
    <row r="33">
      <c r="A33">
        <f>HYPERLINK("https://www.tradingview.com/chart/?symbol=NSE:ANANDRATHI","ANANDRATHI")</f>
        <v/>
      </c>
      <c r="B33" t="n">
        <v>1558476</v>
      </c>
      <c r="C33" t="n">
        <v>315819.2413793103</v>
      </c>
      <c r="D33" t="n">
        <v>4.93</v>
      </c>
    </row>
    <row r="34">
      <c r="A34">
        <f>HYPERLINK("https://www.tradingview.com/chart/?symbol=NSE:LINDEINDIA","LINDEINDIA")</f>
        <v/>
      </c>
      <c r="B34" t="n">
        <v>78466</v>
      </c>
      <c r="C34" t="n">
        <v>15954.03448275862</v>
      </c>
      <c r="D34" t="n">
        <v>4.92</v>
      </c>
    </row>
    <row r="35">
      <c r="A35">
        <f>HYPERLINK("https://www.tradingview.com/chart/?symbol=NSE:CGPOWER","CGPOWER")</f>
        <v/>
      </c>
      <c r="B35" t="n">
        <v>8800708</v>
      </c>
      <c r="C35" t="n">
        <v>1791502.379310345</v>
      </c>
      <c r="D35" t="n">
        <v>4.91</v>
      </c>
    </row>
    <row r="36">
      <c r="A36">
        <f>HYPERLINK("https://www.tradingview.com/chart/?symbol=NSE:NYKAA","NYKAA")</f>
        <v/>
      </c>
      <c r="B36" t="n">
        <v>21119816</v>
      </c>
      <c r="C36" t="n">
        <v>4327465.448275862</v>
      </c>
      <c r="D36" t="n">
        <v>4.88</v>
      </c>
    </row>
    <row r="37">
      <c r="A37">
        <f>HYPERLINK("https://www.tradingview.com/chart/?symbol=NSE:MARICO","MARICO")</f>
        <v/>
      </c>
      <c r="B37" t="n">
        <v>5525183</v>
      </c>
      <c r="C37" t="n">
        <v>1146702.24137931</v>
      </c>
      <c r="D37" t="n">
        <v>4.82</v>
      </c>
    </row>
    <row r="38">
      <c r="A38">
        <f>HYPERLINK("https://www.tradingview.com/chart/?symbol=NSE:ADANIENSOL","ADANIENSOL")</f>
        <v/>
      </c>
      <c r="B38" t="n">
        <v>5180267</v>
      </c>
      <c r="C38" t="n">
        <v>1084860.413793104</v>
      </c>
      <c r="D38" t="n">
        <v>4.78</v>
      </c>
    </row>
    <row r="39">
      <c r="A39">
        <f>HYPERLINK("https://www.tradingview.com/chart/?symbol=NSE:NTPC","NTPC")</f>
        <v/>
      </c>
      <c r="B39" t="n">
        <v>38451958</v>
      </c>
      <c r="C39" t="n">
        <v>8303795.413793104</v>
      </c>
      <c r="D39" t="n">
        <v>4.63</v>
      </c>
    </row>
    <row r="40">
      <c r="A40">
        <f>HYPERLINK("https://www.tradingview.com/chart/?symbol=NSE:CANBK","CANBK")</f>
        <v/>
      </c>
      <c r="B40" t="n">
        <v>66456678</v>
      </c>
      <c r="C40" t="n">
        <v>14669534.62068965</v>
      </c>
      <c r="D40" t="n">
        <v>4.53</v>
      </c>
    </row>
    <row r="41">
      <c r="A41">
        <f>HYPERLINK("https://www.tradingview.com/chart/?symbol=NSE:TORNTPHARM","TORNTPHARM")</f>
        <v/>
      </c>
      <c r="B41" t="n">
        <v>1282960</v>
      </c>
      <c r="C41" t="n">
        <v>285551.6206896552</v>
      </c>
      <c r="D41" t="n">
        <v>4.49</v>
      </c>
    </row>
    <row r="42">
      <c r="A42">
        <f>HYPERLINK("https://www.tradingview.com/chart/?symbol=NSE:ADANIPOWER","ADANIPOWER")</f>
        <v/>
      </c>
      <c r="B42" t="n">
        <v>50755873</v>
      </c>
      <c r="C42" t="n">
        <v>11347940.44827586</v>
      </c>
      <c r="D42" t="n">
        <v>4.47</v>
      </c>
    </row>
    <row r="43">
      <c r="A43">
        <f>HYPERLINK("https://www.tradingview.com/chart/?symbol=NSE:KARURVYSYA","KARURVYSYA")</f>
        <v/>
      </c>
      <c r="B43" t="n">
        <v>5405156</v>
      </c>
      <c r="C43" t="n">
        <v>1217727.482758621</v>
      </c>
      <c r="D43" t="n">
        <v>4.44</v>
      </c>
    </row>
    <row r="44">
      <c r="A44">
        <f>HYPERLINK("https://www.tradingview.com/chart/?symbol=NSE:AUROPHARMA","AUROPHARMA")</f>
        <v/>
      </c>
      <c r="B44" t="n">
        <v>3111471</v>
      </c>
      <c r="C44" t="n">
        <v>705742.2413793104</v>
      </c>
      <c r="D44" t="n">
        <v>4.41</v>
      </c>
    </row>
    <row r="45">
      <c r="A45">
        <f>HYPERLINK("https://www.tradingview.com/chart/?symbol=NSE:MARUTI","MARUTI")</f>
        <v/>
      </c>
      <c r="B45" t="n">
        <v>1003504</v>
      </c>
      <c r="C45" t="n">
        <v>229492.724137931</v>
      </c>
      <c r="D45" t="n">
        <v>4.37</v>
      </c>
    </row>
    <row r="46">
      <c r="A46">
        <f>HYPERLINK("https://www.tradingview.com/chart/?symbol=NSE:INDIANB","INDIANB")</f>
        <v/>
      </c>
      <c r="B46" t="n">
        <v>7717383</v>
      </c>
      <c r="C46" t="n">
        <v>1840172.75862069</v>
      </c>
      <c r="D46" t="n">
        <v>4.19</v>
      </c>
    </row>
    <row r="47">
      <c r="A47">
        <f>HYPERLINK("https://www.tradingview.com/chart/?symbol=NSE:ABSLAMC","ABSLAMC")</f>
        <v/>
      </c>
      <c r="B47" t="n">
        <v>956580</v>
      </c>
      <c r="C47" t="n">
        <v>233319.6551724138</v>
      </c>
      <c r="D47" t="n">
        <v>4.1</v>
      </c>
    </row>
    <row r="48">
      <c r="A48">
        <f>HYPERLINK("https://www.tradingview.com/chart/?symbol=NSE:THERMAX","THERMAX")</f>
        <v/>
      </c>
      <c r="B48" t="n">
        <v>509882</v>
      </c>
      <c r="C48" t="n">
        <v>124504.5172413793</v>
      </c>
      <c r="D48" t="n">
        <v>4.1</v>
      </c>
    </row>
    <row r="49">
      <c r="A49">
        <f>HYPERLINK("https://www.tradingview.com/chart/?symbol=NSE:CHOICEIN","CHOICEIN")</f>
        <v/>
      </c>
      <c r="B49" t="n">
        <v>889077</v>
      </c>
      <c r="C49" t="n">
        <v>217035.8275862069</v>
      </c>
      <c r="D49" t="n">
        <v>4.1</v>
      </c>
    </row>
    <row r="50">
      <c r="A50">
        <f>HYPERLINK("https://www.tradingview.com/chart/?symbol=NSE:ABCAPITAL","ABCAPITAL")</f>
        <v/>
      </c>
      <c r="B50" t="n">
        <v>8120471</v>
      </c>
      <c r="C50" t="n">
        <v>1994205.275862069</v>
      </c>
      <c r="D50" t="n">
        <v>4.07</v>
      </c>
    </row>
    <row r="51">
      <c r="A51">
        <f>HYPERLINK("https://www.tradingview.com/chart/?symbol=NSE:ATHERENERG","ATHERENERG")</f>
        <v/>
      </c>
      <c r="B51" t="n">
        <v>4312402</v>
      </c>
      <c r="C51" t="n">
        <v>1066737.75862069</v>
      </c>
      <c r="D51" t="n">
        <v>4.04</v>
      </c>
    </row>
    <row r="52">
      <c r="A52">
        <f>HYPERLINK("https://www.tradingview.com/chart/?symbol=NSE:JKCEMENT","JKCEMENT")</f>
        <v/>
      </c>
      <c r="B52" t="n">
        <v>173329</v>
      </c>
      <c r="C52" t="n">
        <v>42942.93103448276</v>
      </c>
      <c r="D52" t="n">
        <v>4.04</v>
      </c>
    </row>
    <row r="53">
      <c r="A53">
        <f>HYPERLINK("https://www.tradingview.com/chart/?symbol=NSE:TVSMOTOR","TVSMOTOR")</f>
        <v/>
      </c>
      <c r="B53" t="n">
        <v>2963592</v>
      </c>
      <c r="C53" t="n">
        <v>740501.8965517242</v>
      </c>
      <c r="D53" t="n">
        <v>4</v>
      </c>
    </row>
    <row r="54">
      <c r="A54">
        <f>HYPERLINK("https://www.tradingview.com/chart/?symbol=NSE:GODIGIT","GODIGIT")</f>
        <v/>
      </c>
      <c r="B54" t="n">
        <v>921563</v>
      </c>
      <c r="C54" t="n">
        <v>232340.3793103448</v>
      </c>
      <c r="D54" t="n">
        <v>3.97</v>
      </c>
    </row>
    <row r="55">
      <c r="A55">
        <f>HYPERLINK("https://www.tradingview.com/chart/?symbol=NSE:JBCHEPHARM","JBCHEPHARM")</f>
        <v/>
      </c>
      <c r="B55" t="n">
        <v>567537</v>
      </c>
      <c r="C55" t="n">
        <v>143794.5172413793</v>
      </c>
      <c r="D55" t="n">
        <v>3.95</v>
      </c>
    </row>
    <row r="56">
      <c r="A56">
        <f>HYPERLINK("https://www.tradingview.com/chart/?symbol=NSE:LATENTVIEW","LATENTVIEW")</f>
        <v/>
      </c>
      <c r="B56" t="n">
        <v>1262205</v>
      </c>
      <c r="C56" t="n">
        <v>320465.724137931</v>
      </c>
      <c r="D56" t="n">
        <v>3.94</v>
      </c>
    </row>
    <row r="57">
      <c r="A57">
        <f>HYPERLINK("https://www.tradingview.com/chart/?symbol=NSE:RAMCOCEM","RAMCOCEM")</f>
        <v/>
      </c>
      <c r="B57" t="n">
        <v>431384</v>
      </c>
      <c r="C57" t="n">
        <v>110655.1379310345</v>
      </c>
      <c r="D57" t="n">
        <v>3.9</v>
      </c>
    </row>
    <row r="58">
      <c r="A58">
        <f>HYPERLINK("https://www.tradingview.com/chart/?symbol=NSE:SAIL","SAIL")</f>
        <v/>
      </c>
      <c r="B58" t="n">
        <v>36121339</v>
      </c>
      <c r="C58" t="n">
        <v>9253584.448275862</v>
      </c>
      <c r="D58" t="n">
        <v>3.9</v>
      </c>
    </row>
    <row r="59">
      <c r="A59">
        <f>HYPERLINK("https://www.tradingview.com/chart/?symbol=NSE:SHREECEM","SHREECEM")</f>
        <v/>
      </c>
      <c r="B59" t="n">
        <v>57823</v>
      </c>
      <c r="C59" t="n">
        <v>14920.13793103448</v>
      </c>
      <c r="D59" t="n">
        <v>3.88</v>
      </c>
    </row>
    <row r="60">
      <c r="A60">
        <f>HYPERLINK("https://www.tradingview.com/chart/?symbol=NSE:MCX","MCX")</f>
        <v/>
      </c>
      <c r="B60" t="n">
        <v>6027597</v>
      </c>
      <c r="C60" t="n">
        <v>1563849.379310345</v>
      </c>
      <c r="D60" t="n">
        <v>3.85</v>
      </c>
    </row>
    <row r="61">
      <c r="A61">
        <f>HYPERLINK("https://www.tradingview.com/chart/?symbol=NSE:SUMICHEM","SUMICHEM")</f>
        <v/>
      </c>
      <c r="B61" t="n">
        <v>813759</v>
      </c>
      <c r="C61" t="n">
        <v>212709.275862069</v>
      </c>
      <c r="D61" t="n">
        <v>3.83</v>
      </c>
    </row>
    <row r="62">
      <c r="A62">
        <f>HYPERLINK("https://www.tradingview.com/chart/?symbol=NSE:SBICARD","SBICARD")</f>
        <v/>
      </c>
      <c r="B62" t="n">
        <v>2041186</v>
      </c>
      <c r="C62" t="n">
        <v>534584</v>
      </c>
      <c r="D62" t="n">
        <v>3.82</v>
      </c>
    </row>
    <row r="63">
      <c r="A63">
        <f>HYPERLINK("https://www.tradingview.com/chart/?symbol=NSE:M&amp;MFIN","M&amp;MFIN")</f>
        <v/>
      </c>
      <c r="B63" t="n">
        <v>5662208</v>
      </c>
      <c r="C63" t="n">
        <v>1503177.84375</v>
      </c>
      <c r="D63" t="n">
        <v>3.77</v>
      </c>
    </row>
    <row r="64">
      <c r="A64">
        <f>HYPERLINK("https://www.tradingview.com/chart/?symbol=NSE:POWERINDIA","POWERINDIA")</f>
        <v/>
      </c>
      <c r="B64" t="n">
        <v>228001</v>
      </c>
      <c r="C64" t="n">
        <v>60748.51724137931</v>
      </c>
      <c r="D64" t="n">
        <v>3.75</v>
      </c>
    </row>
    <row r="65">
      <c r="A65">
        <f>HYPERLINK("https://www.tradingview.com/chart/?symbol=NSE:SOLARINDS","SOLARINDS")</f>
        <v/>
      </c>
      <c r="B65" t="n">
        <v>264952</v>
      </c>
      <c r="C65" t="n">
        <v>71568.89655172414</v>
      </c>
      <c r="D65" t="n">
        <v>3.7</v>
      </c>
    </row>
    <row r="66">
      <c r="A66">
        <f>HYPERLINK("https://www.tradingview.com/chart/?symbol=NSE:DRREDDY","DRREDDY")</f>
        <v/>
      </c>
      <c r="B66" t="n">
        <v>3572002</v>
      </c>
      <c r="C66" t="n">
        <v>969476.1724137932</v>
      </c>
      <c r="D66" t="n">
        <v>3.68</v>
      </c>
    </row>
    <row r="67">
      <c r="A67">
        <f>HYPERLINK("https://www.tradingview.com/chart/?symbol=NSE:MAHABANK","MAHABANK")</f>
        <v/>
      </c>
      <c r="B67" t="n">
        <v>23598648</v>
      </c>
      <c r="C67" t="n">
        <v>6431113.551724138</v>
      </c>
      <c r="D67" t="n">
        <v>3.67</v>
      </c>
    </row>
    <row r="68">
      <c r="A68">
        <f>HYPERLINK("https://www.tradingview.com/chart/?symbol=NSE:ABB","ABB")</f>
        <v/>
      </c>
      <c r="B68" t="n">
        <v>550641</v>
      </c>
      <c r="C68" t="n">
        <v>150473.1379310345</v>
      </c>
      <c r="D68" t="n">
        <v>3.66</v>
      </c>
    </row>
    <row r="69">
      <c r="A69">
        <f>HYPERLINK("https://www.tradingview.com/chart/?symbol=NSE:ASTRAL","ASTRAL")</f>
        <v/>
      </c>
      <c r="B69" t="n">
        <v>1301356</v>
      </c>
      <c r="C69" t="n">
        <v>358798.8620689655</v>
      </c>
      <c r="D69" t="n">
        <v>3.63</v>
      </c>
    </row>
    <row r="70">
      <c r="A70">
        <f>HYPERLINK("https://www.tradingview.com/chart/?symbol=NSE:BAYERCROP","BAYERCROP")</f>
        <v/>
      </c>
      <c r="B70" t="n">
        <v>78096</v>
      </c>
      <c r="C70" t="n">
        <v>21596.37931034483</v>
      </c>
      <c r="D70" t="n">
        <v>3.62</v>
      </c>
    </row>
    <row r="71">
      <c r="A71">
        <f>HYPERLINK("https://www.tradingview.com/chart/?symbol=NSE:IEX","IEX")</f>
        <v/>
      </c>
      <c r="B71" t="n">
        <v>6546381</v>
      </c>
      <c r="C71" t="n">
        <v>1816482.586206896</v>
      </c>
      <c r="D71" t="n">
        <v>3.6</v>
      </c>
    </row>
    <row r="72">
      <c r="A72">
        <f>HYPERLINK("https://www.tradingview.com/chart/?symbol=NSE:RBLBANK","RBLBANK")</f>
        <v/>
      </c>
      <c r="B72" t="n">
        <v>7478379</v>
      </c>
      <c r="C72" t="n">
        <v>2157794.275862069</v>
      </c>
      <c r="D72" t="n">
        <v>3.47</v>
      </c>
    </row>
    <row r="73">
      <c r="A73">
        <f>HYPERLINK("https://www.tradingview.com/chart/?symbol=NSE:GMRAIRPORT","GMRAIRPORT")</f>
        <v/>
      </c>
      <c r="B73" t="n">
        <v>45967630</v>
      </c>
      <c r="C73" t="n">
        <v>13430573.17241379</v>
      </c>
      <c r="D73" t="n">
        <v>3.42</v>
      </c>
    </row>
    <row r="74">
      <c r="A74">
        <f>HYPERLINK("https://www.tradingview.com/chart/?symbol=NSE:BERGEPAINT","BERGEPAINT")</f>
        <v/>
      </c>
      <c r="B74" t="n">
        <v>788469</v>
      </c>
      <c r="C74" t="n">
        <v>233248.9655172414</v>
      </c>
      <c r="D74" t="n">
        <v>3.38</v>
      </c>
    </row>
    <row r="75">
      <c r="A75">
        <f>HYPERLINK("https://www.tradingview.com/chart/?symbol=NSE:MRF","MRF")</f>
        <v/>
      </c>
      <c r="B75" t="n">
        <v>10109</v>
      </c>
      <c r="C75" t="n">
        <v>3001.172413793103</v>
      </c>
      <c r="D75" t="n">
        <v>3.37</v>
      </c>
    </row>
    <row r="76">
      <c r="A76">
        <f>HYPERLINK("https://www.tradingview.com/chart/?symbol=NSE:NATIONALUM","NATIONALUM")</f>
        <v/>
      </c>
      <c r="B76" t="n">
        <v>24641948</v>
      </c>
      <c r="C76" t="n">
        <v>7446885.034482758</v>
      </c>
      <c r="D76" t="n">
        <v>3.31</v>
      </c>
    </row>
    <row r="77">
      <c r="A77">
        <f>HYPERLINK("https://www.tradingview.com/chart/?symbol=NSE:CHOLAFIN","CHOLAFIN")</f>
        <v/>
      </c>
      <c r="B77" t="n">
        <v>3194753</v>
      </c>
      <c r="C77" t="n">
        <v>993100.1724137932</v>
      </c>
      <c r="D77" t="n">
        <v>3.22</v>
      </c>
    </row>
    <row r="78">
      <c r="A78">
        <f>HYPERLINK("https://www.tradingview.com/chart/?symbol=NSE:SUPREMEIND","SUPREMEIND")</f>
        <v/>
      </c>
      <c r="B78" t="n">
        <v>309735</v>
      </c>
      <c r="C78" t="n">
        <v>96734.8275862069</v>
      </c>
      <c r="D78" t="n">
        <v>3.2</v>
      </c>
    </row>
    <row r="79">
      <c r="A79">
        <f>HYPERLINK("https://www.tradingview.com/chart/?symbol=NSE:3MINDIA","3MINDIA")</f>
        <v/>
      </c>
      <c r="B79" t="n">
        <v>4760</v>
      </c>
      <c r="C79" t="n">
        <v>1523.310344827586</v>
      </c>
      <c r="D79" t="n">
        <v>3.12</v>
      </c>
    </row>
    <row r="80">
      <c r="A80">
        <f>HYPERLINK("https://www.tradingview.com/chart/?symbol=NSE:NH","NH")</f>
        <v/>
      </c>
      <c r="B80" t="n">
        <v>556120</v>
      </c>
      <c r="C80" t="n">
        <v>179242.3793103448</v>
      </c>
      <c r="D80" t="n">
        <v>3.1</v>
      </c>
    </row>
    <row r="81">
      <c r="A81">
        <f>HYPERLINK("https://www.tradingview.com/chart/?symbol=NSE:RADICO","RADICO")</f>
        <v/>
      </c>
      <c r="B81" t="n">
        <v>484330</v>
      </c>
      <c r="C81" t="n">
        <v>157381.1724137931</v>
      </c>
      <c r="D81" t="n">
        <v>3.08</v>
      </c>
    </row>
    <row r="82">
      <c r="A82">
        <f>HYPERLINK("https://www.tradingview.com/chart/?symbol=NSE:ABDL","ABDL")</f>
        <v/>
      </c>
      <c r="B82" t="n">
        <v>464061</v>
      </c>
      <c r="C82" t="n">
        <v>154830.1724137931</v>
      </c>
      <c r="D82" t="n">
        <v>3</v>
      </c>
    </row>
    <row r="83">
      <c r="A83">
        <f>HYPERLINK("https://www.tradingview.com/chart/?symbol=NSE:LLOYDSME","LLOYDSME")</f>
        <v/>
      </c>
      <c r="B83" t="n">
        <v>728841</v>
      </c>
      <c r="C83" t="n">
        <v>243295.8275862069</v>
      </c>
      <c r="D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2026-06-30T06:16:53Z</dcterms:created>
  <dcterms:modified xsi:type="dcterms:W3CDTF">2026-06-30T06:16:53Z</dcterms:modified>
</cp:coreProperties>
</file>