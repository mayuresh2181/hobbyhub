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HYPERLINK("https://www.tradingview.com/chart/?symbol=NSE:GOLD1","GOLD1")</f>
        <v/>
      </c>
      <c r="B2" t="n">
        <v>125.99</v>
      </c>
      <c r="C2" t="n">
        <v>15280316</v>
      </c>
      <c r="D2" t="n">
        <v>12796631</v>
      </c>
      <c r="E2" t="n">
        <v>83.75</v>
      </c>
      <c r="F2" t="n">
        <v>1091916.2</v>
      </c>
      <c r="G2" t="n">
        <v>11.72</v>
      </c>
      <c r="H2" t="n">
        <v>192.52</v>
      </c>
      <c r="I2" t="n">
        <v>161.22</v>
      </c>
    </row>
    <row r="3">
      <c r="A3">
        <f>HYPERLINK("https://www.tradingview.com/chart/?symbol=NSE:GABRIEL","GABRIEL")</f>
        <v/>
      </c>
      <c r="B3" t="n">
        <v>1471.4</v>
      </c>
      <c r="C3" t="n">
        <v>7891064</v>
      </c>
      <c r="D3" t="n">
        <v>905513</v>
      </c>
      <c r="E3" t="n">
        <v>11.48</v>
      </c>
      <c r="F3" t="n">
        <v>114013.6</v>
      </c>
      <c r="G3" t="n">
        <v>7.94</v>
      </c>
      <c r="H3" t="n">
        <v>1161.09</v>
      </c>
      <c r="I3" t="n">
        <v>133.24</v>
      </c>
    </row>
    <row r="4">
      <c r="A4">
        <f>HYPERLINK("https://www.tradingview.com/chart/?symbol=NSE:PROTEAN","PROTEAN")</f>
        <v/>
      </c>
      <c r="B4" t="n">
        <v>620.65</v>
      </c>
      <c r="C4" t="n">
        <v>14817622</v>
      </c>
      <c r="D4" t="n">
        <v>1718533</v>
      </c>
      <c r="E4" t="n">
        <v>11.6</v>
      </c>
      <c r="F4" t="n">
        <v>159035.6</v>
      </c>
      <c r="G4" t="n">
        <v>10.81</v>
      </c>
      <c r="H4" t="n">
        <v>919.66</v>
      </c>
      <c r="I4" t="n">
        <v>106.66</v>
      </c>
    </row>
    <row r="5">
      <c r="A5">
        <f>HYPERLINK("https://www.tradingview.com/chart/?symbol=NSE:OPTIEMUS","OPTIEMUS")</f>
        <v/>
      </c>
      <c r="B5" t="n">
        <v>708.9</v>
      </c>
      <c r="C5" t="n">
        <v>8046819</v>
      </c>
      <c r="D5" t="n">
        <v>1433612</v>
      </c>
      <c r="E5" t="n">
        <v>17.82</v>
      </c>
      <c r="F5" t="n">
        <v>103746.2333333333</v>
      </c>
      <c r="G5" t="n">
        <v>13.82</v>
      </c>
      <c r="H5" t="n">
        <v>570.4400000000001</v>
      </c>
      <c r="I5" t="n">
        <v>101.63</v>
      </c>
    </row>
    <row r="6">
      <c r="A6">
        <f>HYPERLINK("https://www.tradingview.com/chart/?symbol=NSE:TRANSRAILL","TRANSRAILL")</f>
        <v/>
      </c>
      <c r="B6" t="n">
        <v>477.15</v>
      </c>
      <c r="C6" t="n">
        <v>23971640</v>
      </c>
      <c r="D6" t="n">
        <v>2045812</v>
      </c>
      <c r="E6" t="n">
        <v>8.529999999999999</v>
      </c>
      <c r="F6" t="n">
        <v>195739.1333333333</v>
      </c>
      <c r="G6" t="n">
        <v>10.45</v>
      </c>
      <c r="H6" t="n">
        <v>1143.81</v>
      </c>
      <c r="I6" t="n">
        <v>97.62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2026-09-22T21:38:13Z</dcterms:created>
  <dcterms:modified xsi:type="dcterms:W3CDTF">2026-09-22T21:38:13Z</dcterms:modified>
</cp:coreProperties>
</file>