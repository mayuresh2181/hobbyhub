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HYPERLINK("https://www.tradingview.com/chart/?symbol=NSE:HDFCLIFE", "HDFCLIFE")</f>
        <v/>
      </c>
      <c r="B2" t="n">
        <v>22932269</v>
      </c>
      <c r="C2" t="n">
        <v>3627748.166666667</v>
      </c>
      <c r="D2" t="n">
        <v>6.32</v>
      </c>
    </row>
    <row r="3">
      <c r="A3">
        <f>HYPERLINK("https://www.tradingview.com/chart/?symbol=NSE:WOCKPHARMA", "WOCKPHARMA")</f>
        <v/>
      </c>
      <c r="B3" t="n">
        <v>2038200</v>
      </c>
      <c r="C3" t="n">
        <v>372839.7666666667</v>
      </c>
      <c r="D3" t="n">
        <v>5.47</v>
      </c>
    </row>
    <row r="4">
      <c r="A4">
        <f>HYPERLINK("https://www.tradingview.com/chart/?symbol=NSE:RAINBOW", "RAINBOW")</f>
        <v/>
      </c>
      <c r="B4" t="n">
        <v>511236</v>
      </c>
      <c r="C4" t="n">
        <v>94331.73333333334</v>
      </c>
      <c r="D4" t="n">
        <v>5.42</v>
      </c>
    </row>
    <row r="5">
      <c r="A5">
        <f>HYPERLINK("https://www.tradingview.com/chart/?symbol=NSE:COFORGE", "COFORGE")</f>
        <v/>
      </c>
      <c r="B5" t="n">
        <v>7231364</v>
      </c>
      <c r="C5" t="n">
        <v>1397067.566666667</v>
      </c>
      <c r="D5" t="n">
        <v>5.18</v>
      </c>
    </row>
    <row r="6">
      <c r="A6">
        <f>HYPERLINK("https://www.tradingview.com/chart/?symbol=NSE:AJANTPHARM", "AJANTPHARM")</f>
        <v/>
      </c>
      <c r="B6" t="n">
        <v>251730</v>
      </c>
      <c r="C6" t="n">
        <v>54417.26666666667</v>
      </c>
      <c r="D6" t="n">
        <v>4.63</v>
      </c>
    </row>
    <row r="7">
      <c r="A7">
        <f>HYPERLINK("https://www.tradingview.com/chart/?symbol=NSE:TEJASNET", "TEJASNET")</f>
        <v/>
      </c>
      <c r="B7" t="n">
        <v>3479671</v>
      </c>
      <c r="C7" t="n">
        <v>754362.1666666666</v>
      </c>
      <c r="D7" t="n">
        <v>4.61</v>
      </c>
    </row>
    <row r="8">
      <c r="A8">
        <f>HYPERLINK("https://www.tradingview.com/chart/?symbol=NSE:GLAND", "GLAND")</f>
        <v/>
      </c>
      <c r="B8" t="n">
        <v>325749</v>
      </c>
      <c r="C8" t="n">
        <v>72438.7</v>
      </c>
      <c r="D8" t="n">
        <v>4.5</v>
      </c>
    </row>
    <row r="9">
      <c r="A9">
        <f>HYPERLINK("https://www.tradingview.com/chart/?symbol=NSE:CHALET", "CHALET")</f>
        <v/>
      </c>
      <c r="B9" t="n">
        <v>327869</v>
      </c>
      <c r="C9" t="n">
        <v>76136.53333333334</v>
      </c>
      <c r="D9" t="n">
        <v>4.31</v>
      </c>
    </row>
    <row r="10">
      <c r="A10">
        <f>HYPERLINK("https://www.tradingview.com/chart/?symbol=NSE:UBL", "UBL")</f>
        <v/>
      </c>
      <c r="B10" t="n">
        <v>509676</v>
      </c>
      <c r="C10" t="n">
        <v>127377.9333333333</v>
      </c>
      <c r="D10" t="n">
        <v>4</v>
      </c>
    </row>
    <row r="11">
      <c r="A11">
        <f>HYPERLINK("https://www.tradingview.com/chart/?symbol=NSE:GRANULES", "GRANULES")</f>
        <v/>
      </c>
      <c r="B11" t="n">
        <v>2459982</v>
      </c>
      <c r="C11" t="n">
        <v>655540.2666666667</v>
      </c>
      <c r="D11" t="n">
        <v>3.75</v>
      </c>
    </row>
    <row r="12">
      <c r="A12">
        <f>HYPERLINK("https://www.tradingview.com/chart/?symbol=NSE:RAMCOCEM", "RAMCOCEM")</f>
        <v/>
      </c>
      <c r="B12" t="n">
        <v>583525</v>
      </c>
      <c r="C12" t="n">
        <v>156679.0666666667</v>
      </c>
      <c r="D12" t="n">
        <v>3.72</v>
      </c>
    </row>
    <row r="13">
      <c r="A13">
        <f>HYPERLINK("https://www.tradingview.com/chart/?symbol=NSE:SRF", "SRF")</f>
        <v/>
      </c>
      <c r="B13" t="n">
        <v>1174075</v>
      </c>
      <c r="C13" t="n">
        <v>322480.4666666667</v>
      </c>
      <c r="D13" t="n">
        <v>3.64</v>
      </c>
    </row>
    <row r="14">
      <c r="A14">
        <f>HYPERLINK("https://www.tradingview.com/chart/?symbol=NSE:CARTRADE", "CARTRADE")</f>
        <v/>
      </c>
      <c r="B14" t="n">
        <v>649626</v>
      </c>
      <c r="C14" t="n">
        <v>178284.2333333333</v>
      </c>
      <c r="D14" t="n">
        <v>3.64</v>
      </c>
    </row>
    <row r="15">
      <c r="A15">
        <f>HYPERLINK("https://www.tradingview.com/chart/?symbol=NSE:FSL", "FSL")</f>
        <v/>
      </c>
      <c r="B15" t="n">
        <v>3360285</v>
      </c>
      <c r="C15" t="n">
        <v>930410.7</v>
      </c>
      <c r="D15" t="n">
        <v>3.61</v>
      </c>
    </row>
    <row r="16">
      <c r="A16">
        <f>HYPERLINK("https://www.tradingview.com/chart/?symbol=NSE:CEATLTD", "CEATLTD")</f>
        <v/>
      </c>
      <c r="B16" t="n">
        <v>255810</v>
      </c>
      <c r="C16" t="n">
        <v>73718.60000000001</v>
      </c>
      <c r="D16" t="n">
        <v>3.47</v>
      </c>
    </row>
    <row r="17">
      <c r="A17">
        <f>HYPERLINK("https://www.tradingview.com/chart/?symbol=NSE:YESBANK", "YESBANK")</f>
        <v/>
      </c>
      <c r="B17" t="n">
        <v>161242274</v>
      </c>
      <c r="C17" t="n">
        <v>47387650.375</v>
      </c>
      <c r="D17" t="n">
        <v>3.4</v>
      </c>
    </row>
    <row r="18">
      <c r="A18">
        <f>HYPERLINK("https://www.tradingview.com/chart/?symbol=NSE:SBFC", "SBFC")</f>
        <v/>
      </c>
      <c r="B18" t="n">
        <v>3096984</v>
      </c>
      <c r="C18" t="n">
        <v>984294.4666666667</v>
      </c>
      <c r="D18" t="n">
        <v>3.15</v>
      </c>
    </row>
    <row r="19">
      <c r="A19">
        <f>HYPERLINK("https://www.tradingview.com/chart/?symbol=NSE:KPITTECH", "KPITTECH")</f>
        <v/>
      </c>
      <c r="B19" t="n">
        <v>1970908</v>
      </c>
      <c r="C19" t="n">
        <v>636523.0333333333</v>
      </c>
      <c r="D19" t="n">
        <v>3.1</v>
      </c>
    </row>
    <row r="20">
      <c r="A20">
        <f>HYPERLINK("https://www.tradingview.com/chart/?symbol=NSE:HBLENGINE", "HBLENGINE")</f>
        <v/>
      </c>
      <c r="B20" t="n">
        <v>1774098</v>
      </c>
      <c r="C20" t="n">
        <v>579382.0666666667</v>
      </c>
      <c r="D20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2026-05-07T20:05:28Z</dcterms:created>
  <dcterms:modified xsi:type="dcterms:W3CDTF">2026-05-07T20:05:28Z</dcterms:modified>
</cp:coreProperties>
</file>