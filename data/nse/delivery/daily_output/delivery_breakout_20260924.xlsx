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HYPERLINK("https://www.tradingview.com/chart/?symbol=NSE:POLICYBZR","POLICYBZR")</f>
        <v/>
      </c>
      <c r="B2" t="n">
        <v>1207.2</v>
      </c>
      <c r="C2" t="n">
        <v>27348784</v>
      </c>
      <c r="D2" t="n">
        <v>16222680</v>
      </c>
      <c r="E2" t="n">
        <v>59.32</v>
      </c>
      <c r="F2" t="n">
        <v>679938.0333333333</v>
      </c>
      <c r="G2" t="n">
        <v>23.86</v>
      </c>
      <c r="H2" t="n">
        <v>3301.55</v>
      </c>
      <c r="I2" t="n">
        <v>1958.4</v>
      </c>
    </row>
    <row r="3">
      <c r="A3">
        <f>HYPERLINK("https://www.tradingview.com/chart/?symbol=NSE:MFSL","MFSL")</f>
        <v/>
      </c>
      <c r="B3" t="n">
        <v>1410</v>
      </c>
      <c r="C3" t="n">
        <v>11421840</v>
      </c>
      <c r="D3" t="n">
        <v>5752789</v>
      </c>
      <c r="E3" t="n">
        <v>50.37</v>
      </c>
      <c r="F3" t="n">
        <v>334314.4</v>
      </c>
      <c r="G3" t="n">
        <v>17.21</v>
      </c>
      <c r="H3" t="n">
        <v>1610.48</v>
      </c>
      <c r="I3" t="n">
        <v>811.14</v>
      </c>
    </row>
    <row r="4">
      <c r="A4">
        <f>HYPERLINK("https://www.tradingview.com/chart/?symbol=NSE:STARHEALTH","STARHEALTH")</f>
        <v/>
      </c>
      <c r="B4" t="n">
        <v>550.4</v>
      </c>
      <c r="C4" t="n">
        <v>9649635</v>
      </c>
      <c r="D4" t="n">
        <v>8790683</v>
      </c>
      <c r="E4" t="n">
        <v>91.09999999999999</v>
      </c>
      <c r="F4" t="n">
        <v>255989.8333333333</v>
      </c>
      <c r="G4" t="n">
        <v>34.34</v>
      </c>
      <c r="H4" t="n">
        <v>531.12</v>
      </c>
      <c r="I4" t="n">
        <v>483.84</v>
      </c>
    </row>
    <row r="5">
      <c r="A5">
        <f>HYPERLINK("https://www.tradingview.com/chart/?symbol=NSE:NEPHROPLUS","NEPHROPLUS")</f>
        <v/>
      </c>
      <c r="B5" t="n">
        <v>709.5</v>
      </c>
      <c r="C5" t="n">
        <v>9381845</v>
      </c>
      <c r="D5" t="n">
        <v>5762926</v>
      </c>
      <c r="E5" t="n">
        <v>61.43</v>
      </c>
      <c r="F5" t="n">
        <v>101344.9</v>
      </c>
      <c r="G5" t="n">
        <v>56.86</v>
      </c>
      <c r="H5" t="n">
        <v>665.64</v>
      </c>
      <c r="I5" t="n">
        <v>408.88</v>
      </c>
    </row>
    <row r="6">
      <c r="A6">
        <f>HYPERLINK("https://www.tradingview.com/chart/?symbol=NSE:LTF","LTF")</f>
        <v/>
      </c>
      <c r="B6" t="n">
        <v>282</v>
      </c>
      <c r="C6" t="n">
        <v>36077849</v>
      </c>
      <c r="D6" t="n">
        <v>13861081</v>
      </c>
      <c r="E6" t="n">
        <v>38.42</v>
      </c>
      <c r="F6" t="n">
        <v>1845909.133333333</v>
      </c>
      <c r="G6" t="n">
        <v>7.51</v>
      </c>
      <c r="H6" t="n">
        <v>1017.4</v>
      </c>
      <c r="I6" t="n">
        <v>390.88</v>
      </c>
    </row>
    <row r="7">
      <c r="A7">
        <f>HYPERLINK("https://www.tradingview.com/chart/?symbol=NSE:FIRSTCRY","FIRSTCRY")</f>
        <v/>
      </c>
      <c r="B7" t="n">
        <v>179.63</v>
      </c>
      <c r="C7" t="n">
        <v>31265673</v>
      </c>
      <c r="D7" t="n">
        <v>13309157</v>
      </c>
      <c r="E7" t="n">
        <v>42.57</v>
      </c>
      <c r="F7" t="n">
        <v>781906.7666666667</v>
      </c>
      <c r="G7" t="n">
        <v>17.02</v>
      </c>
      <c r="H7" t="n">
        <v>561.63</v>
      </c>
      <c r="I7" t="n">
        <v>239.07</v>
      </c>
    </row>
    <row r="8">
      <c r="A8">
        <f>HYPERLINK("https://www.tradingview.com/chart/?symbol=NSE:ICICIPRULI","ICICIPRULI")</f>
        <v/>
      </c>
      <c r="B8" t="n">
        <v>464.5</v>
      </c>
      <c r="C8" t="n">
        <v>7763087</v>
      </c>
      <c r="D8" t="n">
        <v>3800027</v>
      </c>
      <c r="E8" t="n">
        <v>48.95</v>
      </c>
      <c r="F8" t="n">
        <v>713821.9333333333</v>
      </c>
      <c r="G8" t="n">
        <v>5.32</v>
      </c>
      <c r="H8" t="n">
        <v>360.6</v>
      </c>
      <c r="I8" t="n">
        <v>176.51</v>
      </c>
    </row>
    <row r="9">
      <c r="A9">
        <f>HYPERLINK("https://www.tradingview.com/chart/?symbol=NSE:BLUESTONE","BLUESTONE")</f>
        <v/>
      </c>
      <c r="B9" t="n">
        <v>807.15</v>
      </c>
      <c r="C9" t="n">
        <v>6798097</v>
      </c>
      <c r="D9" t="n">
        <v>2177894</v>
      </c>
      <c r="E9" t="n">
        <v>32.04</v>
      </c>
      <c r="F9" t="n">
        <v>299205.8333333333</v>
      </c>
      <c r="G9" t="n">
        <v>7.28</v>
      </c>
      <c r="H9" t="n">
        <v>548.71</v>
      </c>
      <c r="I9" t="n">
        <v>175.79</v>
      </c>
    </row>
    <row r="10">
      <c r="A10">
        <f>HYPERLINK("https://www.tradingview.com/chart/?symbol=NSE:SOUTHBANK","SOUTHBANK")</f>
        <v/>
      </c>
      <c r="B10" t="n">
        <v>49.9</v>
      </c>
      <c r="C10" t="n">
        <v>57683718</v>
      </c>
      <c r="D10" t="n">
        <v>25319409</v>
      </c>
      <c r="E10" t="n">
        <v>43.89</v>
      </c>
      <c r="F10" t="n">
        <v>3537702.533333333</v>
      </c>
      <c r="G10" t="n">
        <v>7.16</v>
      </c>
      <c r="H10" t="n">
        <v>287.84</v>
      </c>
      <c r="I10" t="n">
        <v>126.34</v>
      </c>
    </row>
    <row r="11">
      <c r="A11">
        <f>HYPERLINK("https://www.tradingview.com/chart/?symbol=NSE:RAYMONDREL","RAYMONDREL")</f>
        <v/>
      </c>
      <c r="B11" t="n">
        <v>708.3</v>
      </c>
      <c r="C11" t="n">
        <v>18194912</v>
      </c>
      <c r="D11" t="n">
        <v>1631979</v>
      </c>
      <c r="E11" t="n">
        <v>8.970000000000001</v>
      </c>
      <c r="F11" t="n">
        <v>239830.5</v>
      </c>
      <c r="G11" t="n">
        <v>6.8</v>
      </c>
      <c r="H11" t="n">
        <v>1288.75</v>
      </c>
      <c r="I11" t="n">
        <v>115.59</v>
      </c>
    </row>
    <row r="12">
      <c r="A12">
        <f>HYPERLINK("https://www.tradingview.com/chart/?symbol=NSE:ABDL","ABDL")</f>
        <v/>
      </c>
      <c r="B12" t="n">
        <v>712.15</v>
      </c>
      <c r="C12" t="n">
        <v>6590774</v>
      </c>
      <c r="D12" t="n">
        <v>1602964</v>
      </c>
      <c r="E12" t="n">
        <v>24.32</v>
      </c>
      <c r="F12" t="n">
        <v>209371.5</v>
      </c>
      <c r="G12" t="n">
        <v>7.66</v>
      </c>
      <c r="H12" t="n">
        <v>469.36</v>
      </c>
      <c r="I12" t="n">
        <v>114.16</v>
      </c>
    </row>
    <row r="13">
      <c r="A13">
        <f>HYPERLINK("https://www.tradingview.com/chart/?symbol=NSE:AIAENG","AIAENG")</f>
        <v/>
      </c>
      <c r="B13" t="n">
        <v>3953.4</v>
      </c>
      <c r="C13" t="n">
        <v>311377</v>
      </c>
      <c r="D13" t="n">
        <v>288181</v>
      </c>
      <c r="E13" t="n">
        <v>92.55</v>
      </c>
      <c r="F13" t="n">
        <v>26916.63333333334</v>
      </c>
      <c r="G13" t="n">
        <v>10.71</v>
      </c>
      <c r="H13" t="n">
        <v>123.1</v>
      </c>
      <c r="I13" t="n">
        <v>113.93</v>
      </c>
    </row>
    <row r="14">
      <c r="A14">
        <f>HYPERLINK("https://www.tradingview.com/chart/?symbol=NSE:GREAVESCOT","GREAVESCOT")</f>
        <v/>
      </c>
      <c r="B14" t="n">
        <v>221.83</v>
      </c>
      <c r="C14" t="n">
        <v>15910393</v>
      </c>
      <c r="D14" t="n">
        <v>3240028</v>
      </c>
      <c r="E14" t="n">
        <v>20.36</v>
      </c>
      <c r="F14" t="n">
        <v>409860.1</v>
      </c>
      <c r="G14" t="n">
        <v>7.91</v>
      </c>
      <c r="H14" t="n">
        <v>352.94</v>
      </c>
      <c r="I14" t="n">
        <v>71.87</v>
      </c>
    </row>
    <row r="15">
      <c r="A15">
        <f>HYPERLINK("https://www.tradingview.com/chart/?symbol=NSE:GNA","GNA")</f>
        <v/>
      </c>
      <c r="B15" t="n">
        <v>620.45</v>
      </c>
      <c r="C15" t="n">
        <v>7316206</v>
      </c>
      <c r="D15" t="n">
        <v>1133638</v>
      </c>
      <c r="E15" t="n">
        <v>15.49</v>
      </c>
      <c r="F15" t="n">
        <v>195617.3666666667</v>
      </c>
      <c r="G15" t="n">
        <v>5.8</v>
      </c>
      <c r="H15" t="n">
        <v>453.93</v>
      </c>
      <c r="I15" t="n">
        <v>70.34</v>
      </c>
    </row>
    <row r="16">
      <c r="A16">
        <f>HYPERLINK("https://www.tradingview.com/chart/?symbol=NSE:KSCL","KSCL")</f>
        <v/>
      </c>
      <c r="B16" t="n">
        <v>783.85</v>
      </c>
      <c r="C16" t="n">
        <v>19332004</v>
      </c>
      <c r="D16" t="n">
        <v>753292</v>
      </c>
      <c r="E16" t="n">
        <v>3.9</v>
      </c>
      <c r="F16" t="n">
        <v>63692.7</v>
      </c>
      <c r="G16" t="n">
        <v>11.83</v>
      </c>
      <c r="H16" t="n">
        <v>1515.34</v>
      </c>
      <c r="I16" t="n">
        <v>59.05</v>
      </c>
    </row>
    <row r="17">
      <c r="A17">
        <f>HYPERLINK("https://www.tradingview.com/chart/?symbol=NSE:GODIGIT","GODIGIT")</f>
        <v/>
      </c>
      <c r="B17" t="n">
        <v>250.3</v>
      </c>
      <c r="C17" t="n">
        <v>4077269</v>
      </c>
      <c r="D17" t="n">
        <v>2151494</v>
      </c>
      <c r="E17" t="n">
        <v>52.77</v>
      </c>
      <c r="F17" t="n">
        <v>201830.8666666667</v>
      </c>
      <c r="G17" t="n">
        <v>10.66</v>
      </c>
      <c r="H17" t="n">
        <v>102.05</v>
      </c>
      <c r="I17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2026-09-24T21:45:10Z</dcterms:created>
  <dcterms:modified xsi:type="dcterms:W3CDTF">2026-09-24T21:45:10Z</dcterms:modified>
</cp:coreProperties>
</file>