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HYPERLINK("https://www.tradingview.com/chart/?symbol=NSE:POLICYBZR","POLICYBZR")</f>
        <v/>
      </c>
      <c r="B2" t="n">
        <v>14865068</v>
      </c>
      <c r="C2" t="n">
        <v>878592.6896551724</v>
      </c>
      <c r="D2" t="n">
        <v>16.92</v>
      </c>
    </row>
    <row r="3">
      <c r="A3">
        <f>HYPERLINK("https://www.tradingview.com/chart/?symbol=NSE:SUMICHEM","SUMICHEM")</f>
        <v/>
      </c>
      <c r="B3" t="n">
        <v>2387934</v>
      </c>
      <c r="C3" t="n">
        <v>231452.2413793103</v>
      </c>
      <c r="D3" t="n">
        <v>10.32</v>
      </c>
    </row>
    <row r="4">
      <c r="A4">
        <f>HYPERLINK("https://www.tradingview.com/chart/?symbol=NSE:ZENSARTECH","ZENSARTECH")</f>
        <v/>
      </c>
      <c r="B4" t="n">
        <v>3187185</v>
      </c>
      <c r="C4" t="n">
        <v>349286.8620689655</v>
      </c>
      <c r="D4" t="n">
        <v>9.119999999999999</v>
      </c>
    </row>
    <row r="5">
      <c r="A5">
        <f>HYPERLINK("https://www.tradingview.com/chart/?symbol=NSE:PPLPHARMA","PPLPHARMA")</f>
        <v/>
      </c>
      <c r="B5" t="n">
        <v>10722142</v>
      </c>
      <c r="C5" t="n">
        <v>1657398.75862069</v>
      </c>
      <c r="D5" t="n">
        <v>6.47</v>
      </c>
    </row>
    <row r="6">
      <c r="A6">
        <f>HYPERLINK("https://www.tradingview.com/chart/?symbol=NSE:CGPOWER","CGPOWER")</f>
        <v/>
      </c>
      <c r="B6" t="n">
        <v>10744191</v>
      </c>
      <c r="C6" t="n">
        <v>2122617.344827586</v>
      </c>
      <c r="D6" t="n">
        <v>5.06</v>
      </c>
    </row>
    <row r="7">
      <c r="A7">
        <f>HYPERLINK("https://www.tradingview.com/chart/?symbol=NSE:CONCOR","CONCOR")</f>
        <v/>
      </c>
      <c r="B7" t="n">
        <v>4148961</v>
      </c>
      <c r="C7" t="n">
        <v>870295.6551724138</v>
      </c>
      <c r="D7" t="n">
        <v>4.77</v>
      </c>
    </row>
    <row r="8">
      <c r="A8">
        <f>HYPERLINK("https://www.tradingview.com/chart/?symbol=NSE:BHARTIHEXA","BHARTIHEXA")</f>
        <v/>
      </c>
      <c r="B8" t="n">
        <v>541508</v>
      </c>
      <c r="C8" t="n">
        <v>114288.3448275862</v>
      </c>
      <c r="D8" t="n">
        <v>4.74</v>
      </c>
    </row>
    <row r="9">
      <c r="A9">
        <f>HYPERLINK("https://www.tradingview.com/chart/?symbol=NSE:AEGISVOPAK","AEGISVOPAK")</f>
        <v/>
      </c>
      <c r="B9" t="n">
        <v>1662705</v>
      </c>
      <c r="C9" t="n">
        <v>353169.0689655172</v>
      </c>
      <c r="D9" t="n">
        <v>4.71</v>
      </c>
    </row>
    <row r="10">
      <c r="A10">
        <f>HYPERLINK("https://www.tradingview.com/chart/?symbol=NSE:ALKEM","ALKEM")</f>
        <v/>
      </c>
      <c r="B10" t="n">
        <v>394612</v>
      </c>
      <c r="C10" t="n">
        <v>89362.86206896552</v>
      </c>
      <c r="D10" t="n">
        <v>4.42</v>
      </c>
    </row>
    <row r="11">
      <c r="A11">
        <f>HYPERLINK("https://www.tradingview.com/chart/?symbol=NSE:BELRISE","BELRISE")</f>
        <v/>
      </c>
      <c r="B11" t="n">
        <v>7422644</v>
      </c>
      <c r="C11" t="n">
        <v>1695923.103448276</v>
      </c>
      <c r="D11" t="n">
        <v>4.38</v>
      </c>
    </row>
    <row r="12">
      <c r="A12">
        <f>HYPERLINK("https://www.tradingview.com/chart/?symbol=NSE:3MINDIA","3MINDIA")</f>
        <v/>
      </c>
      <c r="B12" t="n">
        <v>5572</v>
      </c>
      <c r="C12" t="n">
        <v>1415.896551724138</v>
      </c>
      <c r="D12" t="n">
        <v>3.94</v>
      </c>
    </row>
    <row r="13">
      <c r="A13">
        <f>HYPERLINK("https://www.tradingview.com/chart/?symbol=NSE:PARADEEP","PARADEEP")</f>
        <v/>
      </c>
      <c r="B13" t="n">
        <v>5509017</v>
      </c>
      <c r="C13" t="n">
        <v>1417376.310344828</v>
      </c>
      <c r="D13" t="n">
        <v>3.89</v>
      </c>
    </row>
    <row r="14">
      <c r="A14">
        <f>HYPERLINK("https://www.tradingview.com/chart/?symbol=NSE:LODHA","LODHA")</f>
        <v/>
      </c>
      <c r="B14" t="n">
        <v>4026793</v>
      </c>
      <c r="C14" t="n">
        <v>1086819.137931034</v>
      </c>
      <c r="D14" t="n">
        <v>3.71</v>
      </c>
    </row>
    <row r="15">
      <c r="A15">
        <f>HYPERLINK("https://www.tradingview.com/chart/?symbol=NSE:POWERINDIA","POWERINDIA")</f>
        <v/>
      </c>
      <c r="B15" t="n">
        <v>229872</v>
      </c>
      <c r="C15" t="n">
        <v>66320.44827586207</v>
      </c>
      <c r="D15" t="n">
        <v>3.47</v>
      </c>
    </row>
    <row r="16">
      <c r="A16">
        <f>HYPERLINK("https://www.tradingview.com/chart/?symbol=NSE:HUDCO","HUDCO")</f>
        <v/>
      </c>
      <c r="B16" t="n">
        <v>3045523</v>
      </c>
      <c r="C16" t="n">
        <v>894449.8275862068</v>
      </c>
      <c r="D16" t="n">
        <v>3.4</v>
      </c>
    </row>
    <row r="17">
      <c r="A17">
        <f>HYPERLINK("https://www.tradingview.com/chart/?symbol=NSE:ENRIN","ENRIN")</f>
        <v/>
      </c>
      <c r="B17" t="n">
        <v>813443</v>
      </c>
      <c r="C17" t="n">
        <v>249519.4137931034</v>
      </c>
      <c r="D17" t="n">
        <v>3.26</v>
      </c>
    </row>
    <row r="18">
      <c r="A18">
        <f>HYPERLINK("https://www.tradingview.com/chart/?symbol=NSE:BAJAJHFL","BAJAJHFL")</f>
        <v/>
      </c>
      <c r="B18" t="n">
        <v>8082238</v>
      </c>
      <c r="C18" t="n">
        <v>2487836.655172414</v>
      </c>
      <c r="D18" t="n">
        <v>3.25</v>
      </c>
    </row>
    <row r="19">
      <c r="A19">
        <f>HYPERLINK("https://www.tradingview.com/chart/?symbol=NSE:SOBHA","SOBHA")</f>
        <v/>
      </c>
      <c r="B19" t="n">
        <v>143669</v>
      </c>
      <c r="C19" t="n">
        <v>44277.72413793104</v>
      </c>
      <c r="D19" t="n">
        <v>3.24</v>
      </c>
    </row>
    <row r="20">
      <c r="A20">
        <f>HYPERLINK("https://www.tradingview.com/chart/?symbol=NSE:GVT&amp;D","GVT&amp;D")</f>
        <v/>
      </c>
      <c r="B20" t="n">
        <v>1805068</v>
      </c>
      <c r="C20" t="n">
        <v>557198.724137931</v>
      </c>
      <c r="D20" t="n">
        <v>3.24</v>
      </c>
    </row>
    <row r="21">
      <c r="A21">
        <f>HYPERLINK("https://www.tradingview.com/chart/?symbol=NSE:M&amp;MFIN","M&amp;MFIN")</f>
        <v/>
      </c>
      <c r="B21" t="n">
        <v>5660411</v>
      </c>
      <c r="C21" t="n">
        <v>1847558.931034483</v>
      </c>
      <c r="D21" t="n">
        <v>3.06</v>
      </c>
    </row>
    <row r="22">
      <c r="A22">
        <f>HYPERLINK("https://www.tradingview.com/chart/?symbol=NSE:NAVINFLUOR","NAVINFLUOR")</f>
        <v/>
      </c>
      <c r="B22" t="n">
        <v>223403</v>
      </c>
      <c r="C22" t="n">
        <v>73791.5172413793</v>
      </c>
      <c r="D22" t="n">
        <v>3.03</v>
      </c>
    </row>
    <row r="23">
      <c r="A23">
        <f>HYPERLINK("https://www.tradingview.com/chart/?symbol=NSE:BANKBARODA","BANKBARODA")</f>
        <v/>
      </c>
      <c r="B23" t="n">
        <v>21071250</v>
      </c>
      <c r="C23" t="n">
        <v>6967916.620689655</v>
      </c>
      <c r="D23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2026-07-04T19:48:47Z</dcterms:created>
  <dcterms:modified xsi:type="dcterms:W3CDTF">2026-07-04T19:48:47Z</dcterms:modified>
</cp:coreProperties>
</file>