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HYPERLINK("https://www.tradingview.com/chart/?symbol=NSE:LENSKART","LENSKART")</f>
        <v/>
      </c>
      <c r="B2" t="n">
        <v>683.85</v>
      </c>
      <c r="C2" t="n">
        <v>44904580</v>
      </c>
      <c r="D2" t="n">
        <v>37390026</v>
      </c>
      <c r="E2" t="n">
        <v>83.27</v>
      </c>
      <c r="F2" t="n">
        <v>7007391.2</v>
      </c>
      <c r="G2" t="n">
        <v>5.34</v>
      </c>
      <c r="H2" t="n">
        <v>3070.8</v>
      </c>
      <c r="I2" t="n">
        <v>2556.92</v>
      </c>
    </row>
    <row r="3">
      <c r="A3">
        <f>HYPERLINK("https://www.tradingview.com/chart/?symbol=NSE:ANURAS","ANURAS")</f>
        <v/>
      </c>
      <c r="B3" t="n">
        <v>1160.8</v>
      </c>
      <c r="C3" t="n">
        <v>6030650</v>
      </c>
      <c r="D3" t="n">
        <v>3516772</v>
      </c>
      <c r="E3" t="n">
        <v>58.31</v>
      </c>
      <c r="F3" t="n">
        <v>180393.9333333333</v>
      </c>
      <c r="G3" t="n">
        <v>19.49</v>
      </c>
      <c r="H3" t="n">
        <v>700.04</v>
      </c>
      <c r="I3" t="n">
        <v>408.23</v>
      </c>
    </row>
    <row r="4">
      <c r="A4">
        <f>HYPERLINK("https://www.tradingview.com/chart/?symbol=NSE:SHYAMMETL","SHYAMMETL")</f>
        <v/>
      </c>
      <c r="B4" t="n">
        <v>1097.5</v>
      </c>
      <c r="C4" t="n">
        <v>2877181</v>
      </c>
      <c r="D4" t="n">
        <v>1765685</v>
      </c>
      <c r="E4" t="n">
        <v>61.37</v>
      </c>
      <c r="F4" t="n">
        <v>247672.9</v>
      </c>
      <c r="G4" t="n">
        <v>7.13</v>
      </c>
      <c r="H4" t="n">
        <v>315.77</v>
      </c>
      <c r="I4" t="n">
        <v>193.78</v>
      </c>
    </row>
    <row r="5">
      <c r="A5">
        <f>HYPERLINK("https://www.tradingview.com/chart/?symbol=NSE:AARTIPHARM","AARTIPHARM")</f>
        <v/>
      </c>
      <c r="B5" t="n">
        <v>846.45</v>
      </c>
      <c r="C5" t="n">
        <v>2420466</v>
      </c>
      <c r="D5" t="n">
        <v>1531354</v>
      </c>
      <c r="E5" t="n">
        <v>63.27</v>
      </c>
      <c r="F5" t="n">
        <v>282382</v>
      </c>
      <c r="G5" t="n">
        <v>5.42</v>
      </c>
      <c r="H5" t="n">
        <v>204.88</v>
      </c>
      <c r="I5" t="n">
        <v>129.62</v>
      </c>
    </row>
    <row r="6">
      <c r="A6">
        <f>HYPERLINK("https://www.tradingview.com/chart/?symbol=NSE:JPPOWER","JPPOWER")</f>
        <v/>
      </c>
      <c r="B6" t="n">
        <v>16.48</v>
      </c>
      <c r="C6" t="n">
        <v>587859403</v>
      </c>
      <c r="D6" t="n">
        <v>72932713</v>
      </c>
      <c r="E6" t="n">
        <v>12.41</v>
      </c>
      <c r="F6" t="n">
        <v>12299312.9</v>
      </c>
      <c r="G6" t="n">
        <v>5.93</v>
      </c>
      <c r="H6" t="n">
        <v>968.79</v>
      </c>
      <c r="I6" t="n">
        <v>120.19</v>
      </c>
    </row>
    <row r="7">
      <c r="A7">
        <f>HYPERLINK("https://www.tradingview.com/chart/?symbol=NSE:PROTEAN","PROTEAN")</f>
        <v/>
      </c>
      <c r="B7" t="n">
        <v>588.35</v>
      </c>
      <c r="C7" t="n">
        <v>7996314</v>
      </c>
      <c r="D7" t="n">
        <v>1451214</v>
      </c>
      <c r="E7" t="n">
        <v>18.15</v>
      </c>
      <c r="F7" t="n">
        <v>113441.2333333333</v>
      </c>
      <c r="G7" t="n">
        <v>12.79</v>
      </c>
      <c r="H7" t="n">
        <v>470.46</v>
      </c>
      <c r="I7" t="n">
        <v>85.38</v>
      </c>
    </row>
    <row r="8">
      <c r="A8">
        <f>HYPERLINK("https://www.tradingview.com/chart/?symbol=NSE:GCSL","GCSL")</f>
        <v/>
      </c>
      <c r="B8" t="n">
        <v>635.1</v>
      </c>
      <c r="C8" t="n">
        <v>2124554</v>
      </c>
      <c r="D8" t="n">
        <v>1333616</v>
      </c>
      <c r="E8" t="n">
        <v>62.77</v>
      </c>
      <c r="F8" t="n">
        <v>232937.7333333333</v>
      </c>
      <c r="G8" t="n">
        <v>5.73</v>
      </c>
      <c r="H8" t="n">
        <v>134.93</v>
      </c>
      <c r="I8" t="n">
        <v>84.7</v>
      </c>
    </row>
    <row r="9">
      <c r="A9">
        <f>HYPERLINK("https://www.tradingview.com/chart/?symbol=NSE:SAMBHV","SAMBHV")</f>
        <v/>
      </c>
      <c r="B9" t="n">
        <v>155.13</v>
      </c>
      <c r="C9" t="n">
        <v>59833915</v>
      </c>
      <c r="D9" t="n">
        <v>5093009</v>
      </c>
      <c r="E9" t="n">
        <v>8.51</v>
      </c>
      <c r="F9" t="n">
        <v>821075.9</v>
      </c>
      <c r="G9" t="n">
        <v>6.2</v>
      </c>
      <c r="H9" t="n">
        <v>928.2</v>
      </c>
      <c r="I9" t="n">
        <v>79.01000000000001</v>
      </c>
    </row>
    <row r="10">
      <c r="A10">
        <f>HYPERLINK("https://www.tradingview.com/chart/?symbol=NSE:JASH","JASH")</f>
        <v/>
      </c>
      <c r="B10" t="n">
        <v>575.9</v>
      </c>
      <c r="C10" t="n">
        <v>14684581</v>
      </c>
      <c r="D10" t="n">
        <v>1084698</v>
      </c>
      <c r="E10" t="n">
        <v>7.39</v>
      </c>
      <c r="F10" t="n">
        <v>64351.16666666666</v>
      </c>
      <c r="G10" t="n">
        <v>16.86</v>
      </c>
      <c r="H10" t="n">
        <v>845.6900000000001</v>
      </c>
      <c r="I10" t="n">
        <v>62.47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2026-09-21T22:10:19Z</dcterms:created>
  <dcterms:modified xsi:type="dcterms:W3CDTF">2026-09-21T22:10:19Z</dcterms:modified>
</cp:coreProperties>
</file>