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HYPERLINK("https://www.tradingview.com/chart/?symbol=NSE:NUVOCO", "NUVOCO")</f>
        <v/>
      </c>
      <c r="B2" t="n">
        <v>1476961</v>
      </c>
      <c r="C2" t="n">
        <v>159544.3333333333</v>
      </c>
      <c r="D2" t="n">
        <v>9.26</v>
      </c>
    </row>
    <row r="3">
      <c r="A3">
        <f>HYPERLINK("https://www.tradingview.com/chart/?symbol=NSE:AFCONS", "AFCONS")</f>
        <v/>
      </c>
      <c r="B3" t="n">
        <v>2059616</v>
      </c>
      <c r="C3" t="n">
        <v>303615.4666666667</v>
      </c>
      <c r="D3" t="n">
        <v>6.78</v>
      </c>
    </row>
    <row r="4">
      <c r="A4">
        <f>HYPERLINK("https://www.tradingview.com/chart/?symbol=NSE:RAILTEL", "RAILTEL")</f>
        <v/>
      </c>
      <c r="B4" t="n">
        <v>3087519</v>
      </c>
      <c r="C4" t="n">
        <v>506884.1</v>
      </c>
      <c r="D4" t="n">
        <v>6.09</v>
      </c>
    </row>
    <row r="5">
      <c r="A5">
        <f>HYPERLINK("https://www.tradingview.com/chart/?symbol=NSE:GALLANTT", "GALLANTT")</f>
        <v/>
      </c>
      <c r="B5" t="n">
        <v>1224807</v>
      </c>
      <c r="C5" t="n">
        <v>210940.9333333333</v>
      </c>
      <c r="D5" t="n">
        <v>5.81</v>
      </c>
    </row>
    <row r="6">
      <c r="A6">
        <f>HYPERLINK("https://www.tradingview.com/chart/?symbol=NSE:SIEMENS", "SIEMENS")</f>
        <v/>
      </c>
      <c r="B6" t="n">
        <v>785981</v>
      </c>
      <c r="C6" t="n">
        <v>152760.3</v>
      </c>
      <c r="D6" t="n">
        <v>5.15</v>
      </c>
    </row>
    <row r="7">
      <c r="A7">
        <f>HYPERLINK("https://www.tradingview.com/chart/?symbol=NSE:ICICIPRULI", "ICICIPRULI")</f>
        <v/>
      </c>
      <c r="B7" t="n">
        <v>4051819</v>
      </c>
      <c r="C7" t="n">
        <v>815342.2</v>
      </c>
      <c r="D7" t="n">
        <v>4.97</v>
      </c>
    </row>
    <row r="8">
      <c r="A8">
        <f>HYPERLINK("https://www.tradingview.com/chart/?symbol=NSE:AARTIIND", "AARTIIND")</f>
        <v/>
      </c>
      <c r="B8" t="n">
        <v>2462712</v>
      </c>
      <c r="C8" t="n">
        <v>544810.4</v>
      </c>
      <c r="D8" t="n">
        <v>4.52</v>
      </c>
    </row>
    <row r="9">
      <c r="A9">
        <f>HYPERLINK("https://www.tradingview.com/chart/?symbol=NSE:BRIGADE", "BRIGADE")</f>
        <v/>
      </c>
      <c r="B9" t="n">
        <v>1129776</v>
      </c>
      <c r="C9" t="n">
        <v>262521.3</v>
      </c>
      <c r="D9" t="n">
        <v>4.3</v>
      </c>
    </row>
    <row r="10">
      <c r="A10">
        <f>HYPERLINK("https://www.tradingview.com/chart/?symbol=NSE:BIKAJI", "BIKAJI")</f>
        <v/>
      </c>
      <c r="B10" t="n">
        <v>277253</v>
      </c>
      <c r="C10" t="n">
        <v>67767</v>
      </c>
      <c r="D10" t="n">
        <v>4.09</v>
      </c>
    </row>
    <row r="11">
      <c r="A11">
        <f>HYPERLINK("https://www.tradingview.com/chart/?symbol=NSE:UTIAMC", "UTIAMC")</f>
        <v/>
      </c>
      <c r="B11" t="n">
        <v>349724</v>
      </c>
      <c r="C11" t="n">
        <v>88916.36666666667</v>
      </c>
      <c r="D11" t="n">
        <v>3.93</v>
      </c>
    </row>
    <row r="12">
      <c r="A12">
        <f>HYPERLINK("https://www.tradingview.com/chart/?symbol=NSE:TRITURBINE", "TRITURBINE")</f>
        <v/>
      </c>
      <c r="B12" t="n">
        <v>947341</v>
      </c>
      <c r="C12" t="n">
        <v>255976.4333333333</v>
      </c>
      <c r="D12" t="n">
        <v>3.7</v>
      </c>
    </row>
    <row r="13">
      <c r="A13">
        <f>HYPERLINK("https://www.tradingview.com/chart/?symbol=NSE:NIACL", "NIACL")</f>
        <v/>
      </c>
      <c r="B13" t="n">
        <v>2217503</v>
      </c>
      <c r="C13" t="n">
        <v>610594.7666666667</v>
      </c>
      <c r="D13" t="n">
        <v>3.63</v>
      </c>
    </row>
    <row r="14">
      <c r="A14">
        <f>HYPERLINK("https://www.tradingview.com/chart/?symbol=NSE:ICICIAMC", "ICICIAMC")</f>
        <v/>
      </c>
      <c r="B14" t="n">
        <v>1244722</v>
      </c>
      <c r="C14" t="n">
        <v>349183.3</v>
      </c>
      <c r="D14" t="n">
        <v>3.56</v>
      </c>
    </row>
    <row r="15">
      <c r="A15">
        <f>HYPERLINK("https://www.tradingview.com/chart/?symbol=NSE:JYOTICNC", "JYOTICNC")</f>
        <v/>
      </c>
      <c r="B15" t="n">
        <v>1316708</v>
      </c>
      <c r="C15" t="n">
        <v>420573.8333333333</v>
      </c>
      <c r="D15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2026-04-16T19:48:03Z</dcterms:created>
  <dcterms:modified xsi:type="dcterms:W3CDTF">2026-04-16T19:48:03Z</dcterms:modified>
</cp:coreProperties>
</file>