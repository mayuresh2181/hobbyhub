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9" customWidth="1" min="2" max="2"/>
    <col width="15" customWidth="1" min="3" max="3"/>
    <col width="15" customWidth="1" min="4" max="4"/>
    <col width="13" customWidth="1" min="5" max="5"/>
    <col width="20" customWidth="1" min="6" max="6"/>
    <col width="17" customWidth="1" min="7" max="7"/>
    <col width="18" customWidth="1" min="8" max="8"/>
    <col width="20" customWidth="1" min="9" max="9"/>
  </cols>
  <sheetData>
    <row r="1">
      <c r="A1" s="1" t="inlineStr">
        <is>
          <t>SYMBOL</t>
        </is>
      </c>
      <c r="B1" s="1" t="inlineStr">
        <is>
          <t>LTP</t>
        </is>
      </c>
      <c r="C1" s="1" t="inlineStr">
        <is>
          <t>TOTAL_VOLUME</t>
        </is>
      </c>
      <c r="D1" s="1" t="inlineStr">
        <is>
          <t>DELIVERY_QTY</t>
        </is>
      </c>
      <c r="E1" s="1" t="inlineStr">
        <is>
          <t>DELIVERY_%</t>
        </is>
      </c>
      <c r="F1" s="1" t="inlineStr">
        <is>
          <t>AVG_30_DELIVERY</t>
        </is>
      </c>
      <c r="G1" s="1" t="inlineStr">
        <is>
          <t>DELIVERY_RATIO</t>
        </is>
      </c>
      <c r="H1" s="1" t="inlineStr">
        <is>
          <t>TRADED_VALUE_CR</t>
        </is>
      </c>
      <c r="I1" s="1" t="inlineStr">
        <is>
          <t>DELIVERY_VALUE_CR</t>
        </is>
      </c>
    </row>
    <row r="2">
      <c r="A2">
        <f>HYPERLINK("https://www.tradingview.com/chart/?symbol=NSE:SWIGGY","SWIGGY")</f>
        <v/>
      </c>
      <c r="B2" t="n">
        <v>176</v>
      </c>
      <c r="C2" t="n">
        <v>137428526</v>
      </c>
      <c r="D2" t="n">
        <v>36788234</v>
      </c>
      <c r="E2" t="n">
        <v>26.77</v>
      </c>
      <c r="F2" t="n">
        <v>5642797.333333333</v>
      </c>
      <c r="G2" t="n">
        <v>6.52</v>
      </c>
      <c r="H2" t="n">
        <v>2418.74</v>
      </c>
      <c r="I2" t="n">
        <v>647.47</v>
      </c>
    </row>
    <row r="3">
      <c r="A3">
        <f>HYPERLINK("https://www.tradingview.com/chart/?symbol=NSE:CYIENT","CYIENT")</f>
        <v/>
      </c>
      <c r="B3" t="n">
        <v>1233</v>
      </c>
      <c r="C3" t="n">
        <v>19888724</v>
      </c>
      <c r="D3" t="n">
        <v>2084364</v>
      </c>
      <c r="E3" t="n">
        <v>10.48</v>
      </c>
      <c r="F3" t="n">
        <v>212049.7333333333</v>
      </c>
      <c r="G3" t="n">
        <v>9.83</v>
      </c>
      <c r="H3" t="n">
        <v>2452.28</v>
      </c>
      <c r="I3" t="n">
        <v>257</v>
      </c>
    </row>
    <row r="4">
      <c r="A4">
        <f>HYPERLINK("https://www.tradingview.com/chart/?symbol=NSE:IGIL","IGIL")</f>
        <v/>
      </c>
      <c r="B4" t="n">
        <v>381.15</v>
      </c>
      <c r="C4" t="n">
        <v>20608368</v>
      </c>
      <c r="D4" t="n">
        <v>4252309</v>
      </c>
      <c r="E4" t="n">
        <v>20.63</v>
      </c>
      <c r="F4" t="n">
        <v>388860.0333333333</v>
      </c>
      <c r="G4" t="n">
        <v>10.94</v>
      </c>
      <c r="H4" t="n">
        <v>785.49</v>
      </c>
      <c r="I4" t="n">
        <v>162.08</v>
      </c>
    </row>
    <row r="5">
      <c r="A5">
        <f>HYPERLINK("https://www.tradingview.com/chart/?symbol=NSE:SSWL","SSWL")</f>
        <v/>
      </c>
      <c r="B5" t="n">
        <v>468.75</v>
      </c>
      <c r="C5" t="n">
        <v>19900207</v>
      </c>
      <c r="D5" t="n">
        <v>3103598</v>
      </c>
      <c r="E5" t="n">
        <v>15.6</v>
      </c>
      <c r="F5" t="n">
        <v>507131.3</v>
      </c>
      <c r="G5" t="n">
        <v>6.12</v>
      </c>
      <c r="H5" t="n">
        <v>932.8200000000001</v>
      </c>
      <c r="I5" t="n">
        <v>145.48</v>
      </c>
    </row>
    <row r="6">
      <c r="A6">
        <f>HYPERLINK("https://www.tradingview.com/chart/?symbol=NSE:BALKRISIND","BALKRISIND")</f>
        <v/>
      </c>
      <c r="B6" t="n">
        <v>2109.8</v>
      </c>
      <c r="C6" t="n">
        <v>869395</v>
      </c>
      <c r="D6" t="n">
        <v>626219</v>
      </c>
      <c r="E6" t="n">
        <v>72.03</v>
      </c>
      <c r="F6" t="n">
        <v>114421.8333333333</v>
      </c>
      <c r="G6" t="n">
        <v>5.47</v>
      </c>
      <c r="H6" t="n">
        <v>183.42</v>
      </c>
      <c r="I6" t="n">
        <v>132.12</v>
      </c>
    </row>
    <row r="7">
      <c r="A7">
        <f>HYPERLINK("https://www.tradingview.com/chart/?symbol=NSE:SAGILITY","SAGILITY")</f>
        <v/>
      </c>
      <c r="B7" t="n">
        <v>44.18</v>
      </c>
      <c r="C7" t="n">
        <v>119715028</v>
      </c>
      <c r="D7" t="n">
        <v>29184338</v>
      </c>
      <c r="E7" t="n">
        <v>24.38</v>
      </c>
      <c r="F7" t="n">
        <v>5575503.166666667</v>
      </c>
      <c r="G7" t="n">
        <v>5.23</v>
      </c>
      <c r="H7" t="n">
        <v>528.9</v>
      </c>
      <c r="I7" t="n">
        <v>128.94</v>
      </c>
    </row>
    <row r="8">
      <c r="A8">
        <f>HYPERLINK("https://www.tradingview.com/chart/?symbol=NSE:CREDITACC","CREDITACC")</f>
        <v/>
      </c>
      <c r="B8" t="n">
        <v>1027.4</v>
      </c>
      <c r="C8" t="n">
        <v>3333793</v>
      </c>
      <c r="D8" t="n">
        <v>877976</v>
      </c>
      <c r="E8" t="n">
        <v>26.34</v>
      </c>
      <c r="F8" t="n">
        <v>110803.8</v>
      </c>
      <c r="G8" t="n">
        <v>7.92</v>
      </c>
      <c r="H8" t="n">
        <v>342.51</v>
      </c>
      <c r="I8" t="n">
        <v>90.2</v>
      </c>
    </row>
    <row r="9">
      <c r="A9">
        <f>HYPERLINK("https://www.tradingview.com/chart/?symbol=NSE:J&amp;KBANK","J&amp;KBANK")</f>
        <v/>
      </c>
      <c r="B9" t="n">
        <v>113.09</v>
      </c>
      <c r="C9" t="n">
        <v>23192355</v>
      </c>
      <c r="D9" t="n">
        <v>6589128</v>
      </c>
      <c r="E9" t="n">
        <v>28.41</v>
      </c>
      <c r="F9" t="n">
        <v>1041370.366666667</v>
      </c>
      <c r="G9" t="n">
        <v>6.33</v>
      </c>
      <c r="H9" t="n">
        <v>262.28</v>
      </c>
      <c r="I9" t="n">
        <v>74.52</v>
      </c>
    </row>
    <row r="10">
      <c r="A10">
        <f>HYPERLINK("https://www.tradingview.com/chart/?symbol=NSE:WESTLIFE","WESTLIFE")</f>
        <v/>
      </c>
      <c r="B10" t="n">
        <v>567.9</v>
      </c>
      <c r="C10" t="n">
        <v>8791829</v>
      </c>
      <c r="D10" t="n">
        <v>988669</v>
      </c>
      <c r="E10" t="n">
        <v>11.25</v>
      </c>
      <c r="F10" t="n">
        <v>79070.3</v>
      </c>
      <c r="G10" t="n">
        <v>12.5</v>
      </c>
      <c r="H10" t="n">
        <v>499.29</v>
      </c>
      <c r="I10" t="n">
        <v>56.15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2026-10-23T21:37:26Z</dcterms:created>
  <dcterms:modified xsi:type="dcterms:W3CDTF">2026-10-23T21:37:26Z</dcterms:modified>
</cp:coreProperties>
</file>